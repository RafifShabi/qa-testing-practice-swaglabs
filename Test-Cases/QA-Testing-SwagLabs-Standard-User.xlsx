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rafifshabiprasetyo/Pribadi/07_Project/QA-Testing-Practice-Project-SwagLabs/4. Test-Cases/"/>
    </mc:Choice>
  </mc:AlternateContent>
  <xr:revisionPtr revIDLastSave="0" documentId="8_{B2415FD6-885F-EA48-A710-C575176ECC2E}" xr6:coauthVersionLast="47" xr6:coauthVersionMax="47" xr10:uidLastSave="{00000000-0000-0000-0000-000000000000}"/>
  <bookViews>
    <workbookView xWindow="0" yWindow="780" windowWidth="36000" windowHeight="21380" activeTab="1" xr2:uid="{00000000-000D-0000-FFFF-FFFF00000000}"/>
  </bookViews>
  <sheets>
    <sheet name="SummaryTestSourceLabs" sheetId="1" r:id="rId1"/>
    <sheet name="TestCaseResult" sheetId="2" r:id="rId2"/>
    <sheet name="BugRepor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rVXWdXAfC8Mv1ZD6JZoY+EfWCTCh+x8Ia5MfwUhBuM4="/>
    </ext>
  </extLst>
</workbook>
</file>

<file path=xl/calcChain.xml><?xml version="1.0" encoding="utf-8"?>
<calcChain xmlns="http://schemas.openxmlformats.org/spreadsheetml/2006/main">
  <c r="P29" i="1" l="1"/>
  <c r="O29" i="1"/>
  <c r="N29" i="1"/>
  <c r="M29" i="1"/>
  <c r="L29" i="1"/>
  <c r="K29" i="1"/>
  <c r="J29" i="1"/>
  <c r="G12" i="1" s="1"/>
  <c r="I29" i="1"/>
  <c r="H29" i="1"/>
  <c r="G27" i="1"/>
  <c r="F27" i="1"/>
  <c r="E27" i="1"/>
  <c r="D27" i="1"/>
  <c r="G26" i="1"/>
  <c r="F26" i="1"/>
  <c r="E26" i="1"/>
  <c r="D26" i="1"/>
  <c r="G25" i="1"/>
  <c r="F25" i="1"/>
  <c r="E25" i="1"/>
  <c r="D25" i="1"/>
  <c r="G24" i="1"/>
  <c r="F24" i="1"/>
  <c r="E24" i="1"/>
  <c r="D24" i="1"/>
  <c r="G23" i="1"/>
  <c r="F23" i="1"/>
  <c r="E23" i="1"/>
  <c r="D23" i="1"/>
  <c r="G22" i="1"/>
  <c r="F22" i="1"/>
  <c r="E22" i="1"/>
  <c r="D22" i="1"/>
  <c r="G21" i="1"/>
  <c r="F21" i="1"/>
  <c r="E21" i="1"/>
  <c r="D21" i="1"/>
  <c r="G20" i="1"/>
  <c r="F20" i="1"/>
  <c r="E20" i="1"/>
  <c r="D20" i="1"/>
  <c r="B20" i="1"/>
  <c r="B21" i="1" s="1"/>
  <c r="B22" i="1" s="1"/>
  <c r="B23" i="1" s="1"/>
  <c r="B24" i="1" s="1"/>
  <c r="B25" i="1" s="1"/>
  <c r="B26" i="1" s="1"/>
  <c r="B27" i="1" s="1"/>
  <c r="G19" i="1"/>
  <c r="F19" i="1"/>
  <c r="E19" i="1"/>
  <c r="D19" i="1"/>
  <c r="B19" i="1"/>
  <c r="G18" i="1"/>
  <c r="G29" i="1" s="1"/>
  <c r="D14" i="1" s="1"/>
  <c r="F18" i="1"/>
  <c r="F29" i="1" s="1"/>
  <c r="D13" i="1" s="1"/>
  <c r="E18" i="1"/>
  <c r="E29" i="1" s="1"/>
  <c r="D12" i="1" s="1"/>
  <c r="D18" i="1"/>
  <c r="D29" i="1" s="1"/>
  <c r="G13" i="1"/>
</calcChain>
</file>

<file path=xl/sharedStrings.xml><?xml version="1.0" encoding="utf-8"?>
<sst xmlns="http://schemas.openxmlformats.org/spreadsheetml/2006/main" count="620" uniqueCount="292">
  <si>
    <t>Summary Test Case Source Lab</t>
  </si>
  <si>
    <t>Software Under Test</t>
  </si>
  <si>
    <t>Test Feature</t>
  </si>
  <si>
    <t>https://www.saucedemo.com/</t>
  </si>
  <si>
    <t>Test Case Name</t>
  </si>
  <si>
    <t>Pre-Conditions</t>
  </si>
  <si>
    <t>Test Data</t>
  </si>
  <si>
    <t>Test Steps</t>
  </si>
  <si>
    <t>Expected Result</t>
  </si>
  <si>
    <t>Test Type</t>
  </si>
  <si>
    <t>Test Result</t>
  </si>
  <si>
    <t>Test PIC</t>
  </si>
  <si>
    <t>with account:</t>
  </si>
  <si>
    <t>Test Date</t>
  </si>
  <si>
    <t>Incident ID</t>
  </si>
  <si>
    <t>username</t>
  </si>
  <si>
    <t>standard_user</t>
  </si>
  <si>
    <t>password</t>
  </si>
  <si>
    <t>secret_sauce</t>
  </si>
  <si>
    <t>TC01</t>
  </si>
  <si>
    <t>Jumlah Test case (TC)</t>
  </si>
  <si>
    <t>Login</t>
  </si>
  <si>
    <t>Verify layout screen Login page</t>
  </si>
  <si>
    <t>1. User already open browser
2. User has navigate to SwagLab Apps (https://www.saucedemo.com)</t>
  </si>
  <si>
    <t>Jumlah Fitur</t>
  </si>
  <si>
    <t>-</t>
  </si>
  <si>
    <t>Check every area in Login page same with design</t>
  </si>
  <si>
    <t>Summary Test Result</t>
  </si>
  <si>
    <t>1. System display Login page 
2. show Page Tittle "Swag Labs"
3. display form login (username, password and login button)</t>
  </si>
  <si>
    <t>Summary Bug Report</t>
  </si>
  <si>
    <t>Positif</t>
  </si>
  <si>
    <t>Passed</t>
  </si>
  <si>
    <t>Rafif</t>
  </si>
  <si>
    <t>TC02</t>
  </si>
  <si>
    <t>User login to Swag Labs web with correct username and password</t>
  </si>
  <si>
    <t>Username: standard_user
Password: secret_sauce</t>
  </si>
  <si>
    <t>Jumlah TC Pass</t>
  </si>
  <si>
    <t>1. User fill username and password with test data beside
2. User click Login button</t>
  </si>
  <si>
    <t>System display dashboard Swag Labs page and show Page Tittle "Products"</t>
  </si>
  <si>
    <t>TC03</t>
  </si>
  <si>
    <t xml:space="preserve">      Jumlah Bug Severity</t>
  </si>
  <si>
    <t>User login to Swag Labs web with correct username but password not filled</t>
  </si>
  <si>
    <t>Username: standard_user
Password: {empty}</t>
  </si>
  <si>
    <t>Nama Fitur</t>
  </si>
  <si>
    <t>1. System will show throw error message "Password is required"
2. Current page still in Login page</t>
  </si>
  <si>
    <t>Negatif</t>
  </si>
  <si>
    <t>Failed</t>
  </si>
  <si>
    <t>Bug Severity</t>
  </si>
  <si>
    <t>Bug Priority</t>
  </si>
  <si>
    <t>Description on Issue</t>
  </si>
  <si>
    <t>TC04</t>
  </si>
  <si>
    <t>User login to Swag Labs web with password filled but username not filled</t>
  </si>
  <si>
    <t>Status</t>
  </si>
  <si>
    <t>Date Found</t>
  </si>
  <si>
    <t>Jumlah TC Fail</t>
  </si>
  <si>
    <t>Username: {empty}
Password: secret_sauce</t>
  </si>
  <si>
    <t>Reporter</t>
  </si>
  <si>
    <t>1. System will show throw error message "Username is required"  under username field
2. Current page still in Login page</t>
  </si>
  <si>
    <t>Fixed By</t>
  </si>
  <si>
    <t xml:space="preserve">      Jumlah Bug Priority</t>
  </si>
  <si>
    <t>Terdapat tambahan infromasi pada pesan Password is required</t>
  </si>
  <si>
    <t>Low</t>
  </si>
  <si>
    <t>TC05</t>
  </si>
  <si>
    <t>Trivial</t>
  </si>
  <si>
    <t>User login to Swag Labs web with username and password not filled</t>
  </si>
  <si>
    <r>
      <rPr>
        <b/>
        <sz val="10"/>
        <color theme="1"/>
        <rFont val="Arial"/>
        <family val="2"/>
      </rPr>
      <t>Error</t>
    </r>
    <r>
      <rPr>
        <sz val="10"/>
        <color theme="1"/>
        <rFont val="Arial"/>
        <family val="2"/>
      </rPr>
      <t xml:space="preserve"> terjadi saat user melakukan login dengan akun standard_user akan tetapi dengan password tidak diisi
</t>
    </r>
    <r>
      <rPr>
        <b/>
        <sz val="10"/>
        <color theme="1"/>
        <rFont val="Arial"/>
        <family val="2"/>
      </rPr>
      <t>Actual result</t>
    </r>
    <r>
      <rPr>
        <sz val="10"/>
        <color theme="1"/>
        <rFont val="Arial"/>
        <family val="2"/>
      </rPr>
      <t xml:space="preserve">:
pesan tidak sama dengan expected result terdapat tambahan pesan yang muncul menjadi "Epic sadface: Password is required". 
</t>
    </r>
    <r>
      <rPr>
        <b/>
        <sz val="10"/>
        <color theme="1"/>
        <rFont val="Arial"/>
        <family val="2"/>
      </rPr>
      <t>Expected result</t>
    </r>
    <r>
      <rPr>
        <sz val="10"/>
        <color theme="1"/>
        <rFont val="Arial"/>
        <family val="2"/>
      </rPr>
      <t xml:space="preserve">:
pesan kesalahan seharusnya "Password is required", jika password kosong
</t>
    </r>
    <r>
      <rPr>
        <b/>
        <sz val="10"/>
        <color theme="1"/>
        <rFont val="Arial"/>
        <family val="2"/>
      </rPr>
      <t xml:space="preserve">Data test:
</t>
    </r>
    <r>
      <rPr>
        <sz val="10"/>
        <color theme="1"/>
        <rFont val="Arial"/>
        <family val="2"/>
      </rPr>
      <t>Username: standard_user
Password: {empty}</t>
    </r>
  </si>
  <si>
    <t>Username: {empty}
Password: {empty}</t>
  </si>
  <si>
    <t>Requirement does not clear</t>
  </si>
  <si>
    <t>New</t>
  </si>
  <si>
    <t>1. System will show throw error message "Username is required" and "Password is required"
2. Current page still in Login page</t>
  </si>
  <si>
    <t>Terdapat tambahan infromasi pada pesan Username is required</t>
  </si>
  <si>
    <t>TC06</t>
  </si>
  <si>
    <t>User login to Swag Labs web with correct username but password does not match</t>
  </si>
  <si>
    <r>
      <rPr>
        <b/>
        <sz val="10"/>
        <color theme="1"/>
        <rFont val="Arial"/>
        <family val="2"/>
      </rPr>
      <t>Error</t>
    </r>
    <r>
      <rPr>
        <sz val="10"/>
        <color theme="1"/>
        <rFont val="Arial"/>
        <family val="2"/>
      </rPr>
      <t xml:space="preserve"> terjadi saat user melakukan login dengan akun dikosongkan dengan password secret_sauce
</t>
    </r>
    <r>
      <rPr>
        <b/>
        <sz val="10"/>
        <color theme="1"/>
        <rFont val="Arial"/>
        <family val="2"/>
      </rPr>
      <t>Actual result</t>
    </r>
    <r>
      <rPr>
        <sz val="10"/>
        <color theme="1"/>
        <rFont val="Arial"/>
        <family val="2"/>
      </rPr>
      <t xml:space="preserve">:
pesan tidak sama dengan expected result terdapat tambahan pesan yang muncul menjadi "Epic sadface: Username is required". 
</t>
    </r>
    <r>
      <rPr>
        <b/>
        <sz val="10"/>
        <color theme="1"/>
        <rFont val="Arial"/>
        <family val="2"/>
      </rPr>
      <t>Expected result</t>
    </r>
    <r>
      <rPr>
        <sz val="10"/>
        <color theme="1"/>
        <rFont val="Arial"/>
        <family val="2"/>
      </rPr>
      <t xml:space="preserve">:
pesan kesalahan seharusnya "Username is required", jika username kosong
</t>
    </r>
    <r>
      <rPr>
        <b/>
        <sz val="10"/>
        <color theme="1"/>
        <rFont val="Arial"/>
        <family val="2"/>
      </rPr>
      <t>Data test</t>
    </r>
    <r>
      <rPr>
        <sz val="10"/>
        <color theme="1"/>
        <rFont val="Arial"/>
        <family val="2"/>
      </rPr>
      <t>:
Username: {empty}
Password: secrete_sauce</t>
    </r>
  </si>
  <si>
    <t>Username: standard_user
Password: secret</t>
  </si>
  <si>
    <t>1. System will show throw error message "Username and password do not match any user in this service" 
2. Current page still in Login page</t>
  </si>
  <si>
    <t xml:space="preserve">Tidak sesuai requaiment, pada saat user tidak mengisi username dan password </t>
  </si>
  <si>
    <t>No.</t>
  </si>
  <si>
    <t>TC07</t>
  </si>
  <si>
    <t>User login to Swag Labs web with username doesn't registered</t>
  </si>
  <si>
    <t>Username: standard
Password: secret_sauce</t>
  </si>
  <si>
    <t>Fitur</t>
  </si>
  <si>
    <t>1. System will show throw error message "Username and password do not match any user in this service"
2. Current page still in Login page</t>
  </si>
  <si>
    <t>Jumlah Test Case</t>
  </si>
  <si>
    <r>
      <rPr>
        <b/>
        <sz val="10"/>
        <color theme="1"/>
        <rFont val="Arial"/>
        <family val="2"/>
      </rPr>
      <t>Error</t>
    </r>
    <r>
      <rPr>
        <sz val="10"/>
        <color theme="1"/>
        <rFont val="Arial"/>
        <family val="2"/>
      </rPr>
      <t xml:space="preserve"> terjadi saat user melakukan login dengan akun dikosongkan dan password dikosongkan juga
</t>
    </r>
    <r>
      <rPr>
        <b/>
        <sz val="10"/>
        <color theme="1"/>
        <rFont val="Arial"/>
        <family val="2"/>
      </rPr>
      <t>Actual result</t>
    </r>
    <r>
      <rPr>
        <sz val="10"/>
        <color theme="1"/>
        <rFont val="Arial"/>
        <family val="2"/>
      </rPr>
      <t xml:space="preserve">:
pesan tidak sama dengan expected result terdapat tambahan pesan yang muncul menjadi "Epic sadface: Username is required" dan tidak dinyatakan juga jika </t>
    </r>
    <r>
      <rPr>
        <b/>
        <sz val="10"/>
        <color theme="1"/>
        <rFont val="Arial"/>
        <family val="2"/>
      </rPr>
      <t>Password is required</t>
    </r>
    <r>
      <rPr>
        <sz val="10"/>
        <color theme="1"/>
        <rFont val="Arial"/>
        <family val="2"/>
      </rPr>
      <t xml:space="preserve">.
</t>
    </r>
    <r>
      <rPr>
        <b/>
        <sz val="10"/>
        <color theme="1"/>
        <rFont val="Arial"/>
        <family val="2"/>
      </rPr>
      <t>Expected result</t>
    </r>
    <r>
      <rPr>
        <sz val="10"/>
        <color theme="1"/>
        <rFont val="Arial"/>
        <family val="2"/>
      </rPr>
      <t>:
pesan kesalahan seharusnya "</t>
    </r>
    <r>
      <rPr>
        <b/>
        <sz val="10"/>
        <color theme="1"/>
        <rFont val="Arial"/>
        <family val="2"/>
      </rPr>
      <t>Username and Password is required</t>
    </r>
    <r>
      <rPr>
        <sz val="10"/>
        <color theme="1"/>
        <rFont val="Arial"/>
        <family val="2"/>
      </rPr>
      <t xml:space="preserve">", jika User name dan password kosong
</t>
    </r>
    <r>
      <rPr>
        <b/>
        <sz val="10"/>
        <color theme="1"/>
        <rFont val="Arial"/>
        <family val="2"/>
      </rPr>
      <t>Data test</t>
    </r>
    <r>
      <rPr>
        <sz val="10"/>
        <color theme="1"/>
        <rFont val="Arial"/>
        <family val="2"/>
      </rPr>
      <t>:
Username: {empty}
Password: {empty}</t>
    </r>
  </si>
  <si>
    <t>TC08</t>
  </si>
  <si>
    <t>Dashboard</t>
  </si>
  <si>
    <t>Verify layout screen Dasboard page</t>
  </si>
  <si>
    <t>1. User has login to SwagLab Apps
2. User has navigate to Dasboard</t>
  </si>
  <si>
    <t>Jumlah Bug Severity</t>
  </si>
  <si>
    <t>Produc is 6 item
1. Name = Sauce Labs Backpack
    price = 29.99
2. Name = Sauce Labs Bike Light
    price = 9.99
3. Name = Sauce Labs Bolt T-Shirt
    price = 15.99
4. Name = Sauce Labs Fleece Jacket
    price = 49.99
5. Name = Sauce Labs Onesie
    price = 7.99
6. Name = Test.allTheThings() T-Shirt (Red)
    price = 15.99</t>
  </si>
  <si>
    <t>Check every area in Dasboard page same with design</t>
  </si>
  <si>
    <t>1. System display dashboard Swag Labs page
2. show Page Tittle "Products"
3. show item product list in conten area
4. show filtering field product in navbar area
5. show Cart icon in header page
6. Default value on the filter uses "Name (A to Z)"</t>
  </si>
  <si>
    <t>Terdapat tambahan infromasi jika password salah pada pesan Username and password do not match any user in this service</t>
  </si>
  <si>
    <t>Jumlah Bug Priority</t>
  </si>
  <si>
    <r>
      <rPr>
        <b/>
        <sz val="10"/>
        <color theme="1"/>
        <rFont val="Arial"/>
        <family val="2"/>
      </rPr>
      <t>Error</t>
    </r>
    <r>
      <rPr>
        <sz val="10"/>
        <color theme="1"/>
        <rFont val="Arial"/>
        <family val="2"/>
      </rPr>
      <t xml:space="preserve"> terjadi saat user melakukan login dengan akun standard_user dan password salah
</t>
    </r>
    <r>
      <rPr>
        <b/>
        <sz val="10"/>
        <color theme="1"/>
        <rFont val="Arial"/>
        <family val="2"/>
      </rPr>
      <t>Actual result</t>
    </r>
    <r>
      <rPr>
        <sz val="10"/>
        <color theme="1"/>
        <rFont val="Arial"/>
        <family val="2"/>
      </rPr>
      <t xml:space="preserve">:
pesan tidak sama dengan expected result terdapat tambahan pesan yang muncul menjadi "Epic sadface: Username and password do not match any user in this service" 
</t>
    </r>
    <r>
      <rPr>
        <b/>
        <sz val="10"/>
        <color theme="1"/>
        <rFont val="Arial"/>
        <family val="2"/>
      </rPr>
      <t>Expected result</t>
    </r>
    <r>
      <rPr>
        <sz val="10"/>
        <color theme="1"/>
        <rFont val="Arial"/>
        <family val="2"/>
      </rPr>
      <t>:
pesan kesalahan seharusnya "</t>
    </r>
    <r>
      <rPr>
        <b/>
        <sz val="10"/>
        <color theme="1"/>
        <rFont val="Arial"/>
        <family val="2"/>
      </rPr>
      <t>Username and password do not match any user in this service</t>
    </r>
    <r>
      <rPr>
        <sz val="10"/>
        <color theme="1"/>
        <rFont val="Arial"/>
        <family val="2"/>
      </rPr>
      <t xml:space="preserve">", jika User name dan password kosong
</t>
    </r>
    <r>
      <rPr>
        <b/>
        <sz val="10"/>
        <color theme="1"/>
        <rFont val="Arial"/>
        <family val="2"/>
      </rPr>
      <t>Data test</t>
    </r>
    <r>
      <rPr>
        <sz val="10"/>
        <color theme="1"/>
        <rFont val="Arial"/>
        <family val="2"/>
      </rPr>
      <t>:
Username: standard_user
Password: secret</t>
    </r>
  </si>
  <si>
    <t>TC09</t>
  </si>
  <si>
    <t>Verify displayed product is working properly</t>
  </si>
  <si>
    <r>
      <rPr>
        <sz val="10"/>
        <color theme="1"/>
        <rFont val="Arial"/>
        <family val="2"/>
      </rPr>
      <t xml:space="preserve">1. Displayed information product consist picture, name of product, description, and price based on data from databased
2. In every product have "Add to </t>
    </r>
    <r>
      <rPr>
        <sz val="10"/>
        <color rgb="FFFF0000"/>
        <rFont val="Arial"/>
        <family val="2"/>
      </rPr>
      <t>cart</t>
    </r>
    <r>
      <rPr>
        <sz val="10"/>
        <color theme="1"/>
        <rFont val="Arial"/>
        <family val="2"/>
      </rPr>
      <t xml:space="preserve">" button can be clicked </t>
    </r>
  </si>
  <si>
    <t>Critical</t>
  </si>
  <si>
    <t>Terdapat tambahan infromasi jika username salah pada pesan Username and password do not match any user in this service</t>
  </si>
  <si>
    <t>Major</t>
  </si>
  <si>
    <t>Minor</t>
  </si>
  <si>
    <t>TC010</t>
  </si>
  <si>
    <r>
      <rPr>
        <b/>
        <sz val="10"/>
        <color theme="1"/>
        <rFont val="Arial"/>
        <family val="2"/>
      </rPr>
      <t>Error</t>
    </r>
    <r>
      <rPr>
        <sz val="10"/>
        <color theme="1"/>
        <rFont val="Arial"/>
        <family val="2"/>
      </rPr>
      <t xml:space="preserve"> terjadi saat user melakukan login dengan akun yang salah dan password benar
</t>
    </r>
    <r>
      <rPr>
        <b/>
        <sz val="10"/>
        <color theme="1"/>
        <rFont val="Arial"/>
        <family val="2"/>
      </rPr>
      <t>Actual result</t>
    </r>
    <r>
      <rPr>
        <sz val="10"/>
        <color theme="1"/>
        <rFont val="Arial"/>
        <family val="2"/>
      </rPr>
      <t xml:space="preserve">:
pesan tidak sama dengan expected result terdapat tambahan pesan yang muncul menjadi "Epic sadface: Username and password do not match any user in this service" 
</t>
    </r>
    <r>
      <rPr>
        <b/>
        <sz val="10"/>
        <color theme="1"/>
        <rFont val="Arial"/>
        <family val="2"/>
      </rPr>
      <t>Expected result</t>
    </r>
    <r>
      <rPr>
        <sz val="10"/>
        <color theme="1"/>
        <rFont val="Arial"/>
        <family val="2"/>
      </rPr>
      <t>:
pesan kesalahan seharusnya "</t>
    </r>
    <r>
      <rPr>
        <b/>
        <sz val="10"/>
        <color theme="1"/>
        <rFont val="Arial"/>
        <family val="2"/>
      </rPr>
      <t>Username and password do not match any user in this service</t>
    </r>
    <r>
      <rPr>
        <sz val="10"/>
        <color theme="1"/>
        <rFont val="Arial"/>
        <family val="2"/>
      </rPr>
      <t xml:space="preserve">", jika User name dan password kosong
</t>
    </r>
    <r>
      <rPr>
        <b/>
        <sz val="10"/>
        <color theme="1"/>
        <rFont val="Arial"/>
        <family val="2"/>
      </rPr>
      <t>Data test</t>
    </r>
    <r>
      <rPr>
        <sz val="10"/>
        <color theme="1"/>
        <rFont val="Arial"/>
        <family val="2"/>
      </rPr>
      <t>:
Username: standard
Password: secret_sauce</t>
    </r>
  </si>
  <si>
    <r>
      <rPr>
        <sz val="10"/>
        <color theme="1"/>
        <rFont val="Arial"/>
        <family val="2"/>
      </rPr>
      <t xml:space="preserve">Verify Add to </t>
    </r>
    <r>
      <rPr>
        <sz val="10"/>
        <color rgb="FFFF0000"/>
        <rFont val="Arial"/>
        <family val="2"/>
      </rPr>
      <t>cart</t>
    </r>
    <r>
      <rPr>
        <sz val="10"/>
        <color theme="1"/>
        <rFont val="Arial"/>
        <family val="2"/>
      </rPr>
      <t xml:space="preserve"> button in every product is working properly</t>
    </r>
  </si>
  <si>
    <t>High</t>
  </si>
  <si>
    <t>Medium</t>
  </si>
  <si>
    <r>
      <rPr>
        <sz val="10"/>
        <color rgb="FF000000"/>
        <rFont val="Arial"/>
        <family val="2"/>
      </rPr>
      <t xml:space="preserve">1. User click Add to </t>
    </r>
    <r>
      <rPr>
        <sz val="10"/>
        <color rgb="FF000000"/>
        <rFont val="Arial"/>
        <family val="2"/>
      </rPr>
      <t>Cart</t>
    </r>
    <r>
      <rPr>
        <sz val="10"/>
        <color rgb="FF000000"/>
        <rFont val="Arial"/>
        <family val="2"/>
      </rPr>
      <t xml:space="preserve"> button in item product 1
2. User click Add to </t>
    </r>
    <r>
      <rPr>
        <sz val="10"/>
        <color rgb="FF000000"/>
        <rFont val="Arial"/>
        <family val="2"/>
      </rPr>
      <t>Cart</t>
    </r>
    <r>
      <rPr>
        <sz val="10"/>
        <color rgb="FF000000"/>
        <rFont val="Arial"/>
        <family val="2"/>
      </rPr>
      <t xml:space="preserve"> button in item product 2
3. User click Add to </t>
    </r>
    <r>
      <rPr>
        <sz val="10"/>
        <color rgb="FF000000"/>
        <rFont val="Arial"/>
        <family val="2"/>
      </rPr>
      <t>Cart</t>
    </r>
    <r>
      <rPr>
        <sz val="10"/>
        <color rgb="FF000000"/>
        <rFont val="Arial"/>
        <family val="2"/>
      </rPr>
      <t xml:space="preserve"> button in item product 3
4. User click Add to </t>
    </r>
    <r>
      <rPr>
        <sz val="10"/>
        <color rgb="FF000000"/>
        <rFont val="Arial"/>
        <family val="2"/>
      </rPr>
      <t>Cart</t>
    </r>
    <r>
      <rPr>
        <sz val="10"/>
        <color rgb="FF000000"/>
        <rFont val="Arial"/>
        <family val="2"/>
      </rPr>
      <t xml:space="preserve"> button in item product 4
5. User click Add to </t>
    </r>
    <r>
      <rPr>
        <sz val="10"/>
        <color rgb="FF000000"/>
        <rFont val="Arial"/>
        <family val="2"/>
      </rPr>
      <t>Cart</t>
    </r>
    <r>
      <rPr>
        <sz val="10"/>
        <color rgb="FF000000"/>
        <rFont val="Arial"/>
        <family val="2"/>
      </rPr>
      <t xml:space="preserve"> button in item product 5
6. User click Add to </t>
    </r>
    <r>
      <rPr>
        <sz val="10"/>
        <color rgb="FF000000"/>
        <rFont val="Arial"/>
        <family val="2"/>
      </rPr>
      <t>Cart</t>
    </r>
    <r>
      <rPr>
        <sz val="10"/>
        <color rgb="FF000000"/>
        <rFont val="Arial"/>
        <family val="2"/>
      </rPr>
      <t xml:space="preserve"> button in item product 6</t>
    </r>
  </si>
  <si>
    <r>
      <rPr>
        <sz val="10"/>
        <color theme="1"/>
        <rFont val="Arial"/>
        <family val="2"/>
      </rPr>
      <t xml:space="preserve">1. Every User click "Add to </t>
    </r>
    <r>
      <rPr>
        <sz val="10"/>
        <color rgb="FFFF0000"/>
        <rFont val="Arial"/>
        <family val="2"/>
      </rPr>
      <t>cart</t>
    </r>
    <r>
      <rPr>
        <sz val="10"/>
        <color theme="1"/>
        <rFont val="Arial"/>
        <family val="2"/>
      </rPr>
      <t xml:space="preserve">" button, in the cart show notification additional number incease one
2. "Add to </t>
    </r>
    <r>
      <rPr>
        <sz val="10"/>
        <color rgb="FFFF0000"/>
        <rFont val="Arial"/>
        <family val="2"/>
      </rPr>
      <t>cart</t>
    </r>
    <r>
      <rPr>
        <sz val="10"/>
        <color theme="1"/>
        <rFont val="Arial"/>
        <family val="2"/>
      </rPr>
      <t>" button change to "Remove" button
3. "Remove" button will show with red font colour and red border colour</t>
    </r>
  </si>
  <si>
    <t>Cart Page</t>
  </si>
  <si>
    <t>TC011</t>
  </si>
  <si>
    <t>TC26</t>
  </si>
  <si>
    <t>Tidak adanya pesan "No product item ordered, User must order minimum one product", dan user dapat menekan tombol checkout</t>
  </si>
  <si>
    <t>Verify Sorting function based on Name (A to Z) is working properly</t>
  </si>
  <si>
    <t>1. User click filtering dropdown
2. User choose "Name (A to Z)" filtering</t>
  </si>
  <si>
    <t>System display Item product already sorting by ascending name product on Dasboard page</t>
  </si>
  <si>
    <r>
      <rPr>
        <b/>
        <sz val="10"/>
        <color theme="1"/>
        <rFont val="Arial"/>
        <family val="2"/>
      </rPr>
      <t>Error</t>
    </r>
    <r>
      <rPr>
        <sz val="10"/>
        <color theme="1"/>
        <rFont val="Arial"/>
        <family val="2"/>
      </rPr>
      <t xml:space="preserve"> karena tidak adanya throw error message "No product item ordered, User must order minimum one product" 
</t>
    </r>
    <r>
      <rPr>
        <b/>
        <sz val="10"/>
        <color theme="1"/>
        <rFont val="Arial"/>
        <family val="2"/>
      </rPr>
      <t>Actual result</t>
    </r>
    <r>
      <rPr>
        <sz val="10"/>
        <color theme="1"/>
        <rFont val="Arial"/>
        <family val="2"/>
      </rPr>
      <t xml:space="preserve">:
pesan tidak sama dengan expected result yang seharusnya menampilkan throw error message "No product item ordered, User must order minimum one product" 
</t>
    </r>
    <r>
      <rPr>
        <b/>
        <sz val="10"/>
        <color theme="1"/>
        <rFont val="Arial"/>
        <family val="2"/>
      </rPr>
      <t>Expected result</t>
    </r>
    <r>
      <rPr>
        <sz val="10"/>
        <color theme="1"/>
        <rFont val="Arial"/>
        <family val="2"/>
      </rPr>
      <t xml:space="preserve">:
terdapat pesan throw error message "No product item ordered, User must order minimum one product" 
</t>
    </r>
    <r>
      <rPr>
        <b/>
        <sz val="10"/>
        <color theme="1"/>
        <rFont val="Arial"/>
        <family val="2"/>
      </rPr>
      <t>Data test</t>
    </r>
    <r>
      <rPr>
        <sz val="10"/>
        <color theme="1"/>
        <rFont val="Arial"/>
        <family val="2"/>
      </rPr>
      <t>:
Product: -</t>
    </r>
  </si>
  <si>
    <t>TC012</t>
  </si>
  <si>
    <t>Verify Sorting function based on Name (Z to A) is working properly</t>
  </si>
  <si>
    <t>1. User click filtering dropdown
2. User choose "Name (Z to A)" filtering</t>
  </si>
  <si>
    <t>System display Item product already sorting by descending name product on Dasboard page</t>
  </si>
  <si>
    <t>Checkout Page</t>
  </si>
  <si>
    <t>TC29</t>
  </si>
  <si>
    <t xml:space="preserve">Icon x ada pada setiap kolom, padahal hanya firstname yang kosong, ada pesan tambahan pada error message dan pesan tidak dibawah masalah </t>
  </si>
  <si>
    <t>TC013</t>
  </si>
  <si>
    <t>Verify Sorting function based on Price (low to high) is working properly</t>
  </si>
  <si>
    <r>
      <rPr>
        <b/>
        <sz val="10"/>
        <color theme="1"/>
        <rFont val="Arial"/>
        <family val="2"/>
      </rPr>
      <t>Error</t>
    </r>
    <r>
      <rPr>
        <sz val="10"/>
        <color theme="1"/>
        <rFont val="Arial"/>
        <family val="2"/>
      </rPr>
      <t xml:space="preserve"> karena sistem menampilkan indikator error ("X") pada semua kolom dan teks pesan error tidak sesuai ekspektasi saat field First Name dikosongkan.
</t>
    </r>
    <r>
      <rPr>
        <b/>
        <sz val="10"/>
        <color theme="1"/>
        <rFont val="Arial"/>
        <family val="2"/>
      </rPr>
      <t>Actual result</t>
    </r>
    <r>
      <rPr>
        <sz val="10"/>
        <color theme="1"/>
        <rFont val="Arial"/>
        <family val="2"/>
      </rPr>
      <t xml:space="preserve">:
Sistem menampilkan indikator error ("X") pada semua kolom dan teks pesan error tidak sesuai ekspektasi saat field First Name dikosongkan.
</t>
    </r>
    <r>
      <rPr>
        <b/>
        <sz val="10"/>
        <color theme="1"/>
        <rFont val="Arial"/>
        <family val="2"/>
      </rPr>
      <t>Expected result</t>
    </r>
    <r>
      <rPr>
        <sz val="10"/>
        <color theme="1"/>
        <rFont val="Arial"/>
        <family val="2"/>
      </rPr>
      <t xml:space="preserve">:
Sistem akan menampilkan pesan error "First Name is required" di bawah kolom First Name.
Halaman saat ini tetap berada di halaman Checkout.
Kolom First Name ditampilkan dengan warna merah dan terdapat ikon silang di ujungnya.
</t>
    </r>
    <r>
      <rPr>
        <b/>
        <sz val="10"/>
        <color theme="1"/>
        <rFont val="Arial"/>
        <family val="2"/>
      </rPr>
      <t>Data test</t>
    </r>
    <r>
      <rPr>
        <sz val="10"/>
        <color theme="1"/>
        <rFont val="Arial"/>
        <family val="2"/>
      </rPr>
      <t>:
Product: Sauce Labs Backpack
First Name = {Empty}
Last Name = "Maspupah"
Zip/ Postal Code = "40523"</t>
    </r>
  </si>
  <si>
    <t>1. User click filtering dropdown
2. User choose "Price (low to high)" filtering</t>
  </si>
  <si>
    <t>System display Item product already sorting by lower price to high price on Dasboard page</t>
  </si>
  <si>
    <t>TC14</t>
  </si>
  <si>
    <t>Verify Sorting function based on Price (high to low) is working properly</t>
  </si>
  <si>
    <t>TC30</t>
  </si>
  <si>
    <t xml:space="preserve">Icon x ada pada setiap kolom, padahal hanya last name yang kosong, ada pesan tambahan pada error message dan pesan tidak dibawah masalah </t>
  </si>
  <si>
    <t>1. User click filtering dropdown
2. User choose "Price (high to low)" filtering</t>
  </si>
  <si>
    <t>System display Item product already sorting by high price to lower price on Dasboard page</t>
  </si>
  <si>
    <r>
      <rPr>
        <b/>
        <sz val="10"/>
        <color theme="1"/>
        <rFont val="Arial"/>
        <family val="2"/>
      </rPr>
      <t>Error</t>
    </r>
    <r>
      <rPr>
        <sz val="10"/>
        <color theme="1"/>
        <rFont val="Arial"/>
        <family val="2"/>
      </rPr>
      <t xml:space="preserve"> karena sistem menampilkan indikator error ("X") pada semua kolom dan teks pesan error tidak sesuai ekspektasi saat field Last Name dikosongkan.
</t>
    </r>
    <r>
      <rPr>
        <b/>
        <sz val="10"/>
        <color theme="1"/>
        <rFont val="Arial"/>
        <family val="2"/>
      </rPr>
      <t>Actual result</t>
    </r>
    <r>
      <rPr>
        <sz val="10"/>
        <color theme="1"/>
        <rFont val="Arial"/>
        <family val="2"/>
      </rPr>
      <t xml:space="preserve">:
Sistem menampilkan indikator error ("X") pada semua kolom dan teks pesan error tidak sesuai ekspektasi saat field Last Name dikosongkan.
</t>
    </r>
    <r>
      <rPr>
        <b/>
        <sz val="10"/>
        <color theme="1"/>
        <rFont val="Arial"/>
        <family val="2"/>
      </rPr>
      <t>Expected result</t>
    </r>
    <r>
      <rPr>
        <sz val="10"/>
        <color theme="1"/>
        <rFont val="Arial"/>
        <family val="2"/>
      </rPr>
      <t xml:space="preserve">:
Sistem akan menampilkan pesan error "Last Name is required" di bawah kolom Last Name.
Halaman saat ini tetap berada di halaman Checkout.
Kolom Last Name ditampilkan dengan warna merah dan terdapat ikon silang di ujungnya.
</t>
    </r>
    <r>
      <rPr>
        <b/>
        <sz val="10"/>
        <color theme="1"/>
        <rFont val="Arial"/>
        <family val="2"/>
      </rPr>
      <t>Data test</t>
    </r>
    <r>
      <rPr>
        <sz val="10"/>
        <color theme="1"/>
        <rFont val="Arial"/>
        <family val="2"/>
      </rPr>
      <t>:
Product: Sauce Labs Backpack
First Name = "Asri"
Last Name = {Empty}
Zip/ Postal Code = "40523"</t>
    </r>
  </si>
  <si>
    <t>TC15</t>
  </si>
  <si>
    <t>Verify Add product to cart is working properly</t>
  </si>
  <si>
    <t>TC31</t>
  </si>
  <si>
    <t>Icon x ada pada setiap kolom, padahal hanya postal code yang kosong dan ada pesan tambahan pada error message</t>
  </si>
  <si>
    <t>User click button "Add to cart" in some product item in Dasboard page</t>
  </si>
  <si>
    <t>button "Add to cart" change to "remove" in product item chosen, and display number of product already order in Cart Icon based on count of product ordered</t>
  </si>
  <si>
    <r>
      <rPr>
        <b/>
        <sz val="10"/>
        <color theme="1"/>
        <rFont val="Arial"/>
        <family val="2"/>
      </rPr>
      <t>Error</t>
    </r>
    <r>
      <rPr>
        <sz val="10"/>
        <color theme="1"/>
        <rFont val="Arial"/>
        <family val="2"/>
      </rPr>
      <t xml:space="preserve"> karena sistem menampilkan indikator error ("X") pada semua kolom dan teks pesan error tidak sesuai ekspektasi saat field Postal Codedikosongkan.
</t>
    </r>
    <r>
      <rPr>
        <b/>
        <sz val="10"/>
        <color theme="1"/>
        <rFont val="Arial"/>
        <family val="2"/>
      </rPr>
      <t>Actual result</t>
    </r>
    <r>
      <rPr>
        <sz val="10"/>
        <color theme="1"/>
        <rFont val="Arial"/>
        <family val="2"/>
      </rPr>
      <t xml:space="preserve">:
Sistem menampilkan indikator error ("X") pada semua kolom dan teks pesan error tidak sesuai ekspektasi saat postal code Name dikosongkan.
</t>
    </r>
    <r>
      <rPr>
        <b/>
        <sz val="10"/>
        <color theme="1"/>
        <rFont val="Arial"/>
        <family val="2"/>
      </rPr>
      <t>Expected result</t>
    </r>
    <r>
      <rPr>
        <sz val="10"/>
        <color theme="1"/>
        <rFont val="Arial"/>
        <family val="2"/>
      </rPr>
      <t xml:space="preserve">:
Sistem akan menampilkan pesan error "Postal Code is required" di bawah kolom Postal Code.
Halaman saat ini tetap berada di halaman Checkout.
Kolom Postal Code ditampilkan dengan warna merah dan terdapat ikon silang di ujungnya.
</t>
    </r>
    <r>
      <rPr>
        <b/>
        <sz val="10"/>
        <color theme="1"/>
        <rFont val="Arial"/>
        <family val="2"/>
      </rPr>
      <t>Data test</t>
    </r>
    <r>
      <rPr>
        <sz val="10"/>
        <color theme="1"/>
        <rFont val="Arial"/>
        <family val="2"/>
      </rPr>
      <t>:
Product: Sauce Labs Backpack
First Name = "Asri"
Last Name = "Maspupah"
Zip/ Postal Code = {Empty}</t>
    </r>
  </si>
  <si>
    <t>TC32</t>
  </si>
  <si>
    <t>TC16</t>
  </si>
  <si>
    <t>error message ada tambahan pesan, dan seharunsya seluruh field terdapat pesan error</t>
  </si>
  <si>
    <t>Verify remove product from cart with case still some product order is working properly</t>
  </si>
  <si>
    <t>1. User has login to SwagLab Apps
2. User has navigate to Dasboard
3. User already chosen product to cart</t>
  </si>
  <si>
    <t>User click button "Remove" in some product item already order in Dasboard page</t>
  </si>
  <si>
    <r>
      <rPr>
        <b/>
        <sz val="10"/>
        <color theme="1"/>
        <rFont val="Arial"/>
        <family val="2"/>
      </rPr>
      <t>Error</t>
    </r>
    <r>
      <rPr>
        <sz val="10"/>
        <color theme="1"/>
        <rFont val="Arial"/>
        <family val="2"/>
      </rPr>
      <t xml:space="preserve"> pada pesan error tidak sesuai ekspektasi saat sleuruh filed dikosongkan.
</t>
    </r>
    <r>
      <rPr>
        <b/>
        <sz val="10"/>
        <color theme="1"/>
        <rFont val="Arial"/>
        <family val="2"/>
      </rPr>
      <t>Actual result</t>
    </r>
    <r>
      <rPr>
        <sz val="10"/>
        <color theme="1"/>
        <rFont val="Arial"/>
        <family val="2"/>
      </rPr>
      <t xml:space="preserve">:
Pesan error hanya dibawah postal code dengan error message "Error: First Name is required"
</t>
    </r>
    <r>
      <rPr>
        <b/>
        <sz val="10"/>
        <color theme="1"/>
        <rFont val="Arial"/>
        <family val="2"/>
      </rPr>
      <t>Expected result</t>
    </r>
    <r>
      <rPr>
        <sz val="10"/>
        <color theme="1"/>
        <rFont val="Arial"/>
        <family val="2"/>
      </rPr>
      <t xml:space="preserve">:
Sistem akan menampilkan pesan error "First Name is required" di bawah kolom First Name.
Sistem akan menampilkan pesan error "Last Name is required" di bawah kolom Last Name.
Sistem akan menampilkan pesan error "Postal Code is required" di bawah kolom Postal Code.
Halaman saat ini tetap berada di halaman Checkout.
Kolom Postal Code ditampilkan dengan warna merah dan terdapat ikon silang di ujungnya.
</t>
    </r>
    <r>
      <rPr>
        <b/>
        <sz val="10"/>
        <color theme="1"/>
        <rFont val="Arial"/>
        <family val="2"/>
      </rPr>
      <t>Data test</t>
    </r>
    <r>
      <rPr>
        <sz val="10"/>
        <color theme="1"/>
        <rFont val="Arial"/>
        <family val="2"/>
      </rPr>
      <t>:
Product: Sauce Labs Backpack
First Name = {Empty}
Last Name = {Empty}
Zip/ Postal Code = {Empty}</t>
    </r>
  </si>
  <si>
    <t>button "Remove" change to "Add to cart" in product item chosen, and display number of product already order in Cart Icon based on count of product ordered</t>
  </si>
  <si>
    <t>Checkout Overview Page</t>
  </si>
  <si>
    <t>TC36</t>
  </si>
  <si>
    <t>pada saat berada di overview page, user menekan tombol cancel, akan tetapi tidak kembali ke cart page</t>
  </si>
  <si>
    <r>
      <rPr>
        <b/>
        <sz val="10"/>
        <color theme="1"/>
        <rFont val="Arial"/>
        <family val="2"/>
      </rPr>
      <t>Error</t>
    </r>
    <r>
      <rPr>
        <sz val="10"/>
        <color theme="1"/>
        <rFont val="Arial"/>
        <family val="2"/>
      </rPr>
      <t xml:space="preserve"> terjadi saat user menekan tombol Cancel pada halaman Checkout Overview.
</t>
    </r>
    <r>
      <rPr>
        <b/>
        <sz val="10"/>
        <color theme="1"/>
        <rFont val="Arial"/>
        <family val="2"/>
      </rPr>
      <t>Actual result</t>
    </r>
    <r>
      <rPr>
        <sz val="10"/>
        <color theme="1"/>
        <rFont val="Arial"/>
        <family val="2"/>
      </rPr>
      <t xml:space="preserve">:
Pada saat berada di Checkout Overview page, user menekan tombol cancel, akan tetapi tidak kembali ke Checkout page (atau Cart page).
</t>
    </r>
    <r>
      <rPr>
        <b/>
        <sz val="10"/>
        <color theme="1"/>
        <rFont val="Arial"/>
        <family val="2"/>
      </rPr>
      <t>Expected result</t>
    </r>
    <r>
      <rPr>
        <sz val="10"/>
        <color theme="1"/>
        <rFont val="Arial"/>
        <family val="2"/>
      </rPr>
      <t xml:space="preserve">:
Sistem display Checkout page (sistem seharusnya mengarahkan user kembali ke cart page).
</t>
    </r>
    <r>
      <rPr>
        <b/>
        <sz val="10"/>
        <color theme="1"/>
        <rFont val="Arial"/>
        <family val="2"/>
      </rPr>
      <t>Data test</t>
    </r>
    <r>
      <rPr>
        <sz val="10"/>
        <color theme="1"/>
        <rFont val="Arial"/>
        <family val="2"/>
      </rPr>
      <t xml:space="preserve">:
Product is 6 item
1. Name = Sauce Labs Backpack, price = 29.99
2. Name = Sauce Labs Bike Light, price = 9.99
3. Name = Sauce Labs Bolt T-Shirt, price = 15.99
4. Name = Sauce Labs Fleece Jacket, price = 49.99
5. Name = Sauce Labs Onesie, price = 7.99
6. Name = Test.allTheThings() T-Shirt (Red), price = 15.99
</t>
    </r>
    <r>
      <rPr>
        <b/>
        <sz val="10"/>
        <color theme="1"/>
        <rFont val="Arial"/>
        <family val="2"/>
      </rPr>
      <t>Check Out Information</t>
    </r>
    <r>
      <rPr>
        <sz val="10"/>
        <color theme="1"/>
        <rFont val="Arial"/>
        <family val="2"/>
      </rPr>
      <t xml:space="preserve">
First Name = "Asri"
Last Name = "Maspupah"
Zip/ Postal Code = "40523"</t>
    </r>
  </si>
  <si>
    <t>Reset App State</t>
  </si>
  <si>
    <t>TC42</t>
  </si>
  <si>
    <t>Verify reset app state with case some product ordered is working properly</t>
  </si>
  <si>
    <t>TC17</t>
  </si>
  <si>
    <t>Verify remove product from cart with case no itrem product ordered is working properly</t>
  </si>
  <si>
    <r>
      <rPr>
        <b/>
        <sz val="10"/>
        <color theme="1"/>
        <rFont val="Arial"/>
        <family val="2"/>
      </rPr>
      <t>Error</t>
    </r>
    <r>
      <rPr>
        <sz val="10"/>
        <color theme="1"/>
        <rFont val="Arial"/>
        <family val="2"/>
      </rPr>
      <t xml:space="preserve"> pada saat menekan tombol reset app state dan filter name z to a
</t>
    </r>
    <r>
      <rPr>
        <b/>
        <sz val="10"/>
        <color theme="1"/>
        <rFont val="Arial"/>
        <family val="2"/>
      </rPr>
      <t>Actual result</t>
    </r>
    <r>
      <rPr>
        <sz val="10"/>
        <color theme="1"/>
        <rFont val="Arial"/>
        <family val="2"/>
      </rPr>
      <t xml:space="preserve">:
Produk tetap terfilter z to a
</t>
    </r>
    <r>
      <rPr>
        <b/>
        <sz val="10"/>
        <color theme="1"/>
        <rFont val="Arial"/>
        <family val="2"/>
      </rPr>
      <t>Expected result</t>
    </r>
    <r>
      <rPr>
        <sz val="10"/>
        <color theme="1"/>
        <rFont val="Arial"/>
        <family val="2"/>
      </rPr>
      <t xml:space="preserve">:
Urutan produk kembali ke default, yakni a to z
</t>
    </r>
    <r>
      <rPr>
        <b/>
        <sz val="10"/>
        <color theme="1"/>
        <rFont val="Arial"/>
        <family val="2"/>
      </rPr>
      <t>Data test</t>
    </r>
    <r>
      <rPr>
        <sz val="10"/>
        <color theme="1"/>
        <rFont val="Arial"/>
        <family val="2"/>
      </rPr>
      <t>:
Filter: Name {Z to A}</t>
    </r>
  </si>
  <si>
    <t>User click button "Remove" in all product item already order in Dasboard page</t>
  </si>
  <si>
    <t>button "Remove" change to "Add to cart" in product item chosen, and number of product already order in Cart Icon is disappear</t>
  </si>
  <si>
    <t>TC18</t>
  </si>
  <si>
    <t>Verify layout screen Cart page</t>
  </si>
  <si>
    <t>1. User has login to SwagLab Apps
2. User has ordered some product item in Dasboard page
3. User has navigate to Cart page</t>
  </si>
  <si>
    <t>Check every area in Cart page same with design</t>
  </si>
  <si>
    <r>
      <rPr>
        <sz val="10"/>
        <color theme="1"/>
        <rFont val="Arial"/>
        <family val="2"/>
      </rPr>
      <t xml:space="preserve">1. System display Cart page, show Page Tittle "Your Cart", 
2. show data grid product ordered with table form (QTY as first column and Description as second column) 
3. Display Continue </t>
    </r>
    <r>
      <rPr>
        <sz val="10"/>
        <color rgb="FFFF0000"/>
        <rFont val="Arial"/>
        <family val="2"/>
      </rPr>
      <t>Shopping</t>
    </r>
    <r>
      <rPr>
        <sz val="10"/>
        <color theme="1"/>
        <rFont val="Arial"/>
        <family val="2"/>
      </rPr>
      <t xml:space="preserve"> button in buttom left area
4. Display Checkout button in buttom right area</t>
    </r>
  </si>
  <si>
    <t>TC19</t>
  </si>
  <si>
    <t>Verify view data order item in Cart page when user not choose product to order is working properly</t>
  </si>
  <si>
    <t>Product item not selected to cart 
empty cart</t>
  </si>
  <si>
    <t>User click cart icon</t>
  </si>
  <si>
    <t>System display Cart page, show Page Tittle "Your Cart", and show data grid order with QTY and Description column empty data</t>
  </si>
  <si>
    <t>TC20</t>
  </si>
  <si>
    <t>Verify view data order item in Cart page when user already choose some product to order is working properly</t>
  </si>
  <si>
    <t>1. User click "Add to cart" button at some product item in Dasboard page
2. User click cart icon</t>
  </si>
  <si>
    <t xml:space="preserve">System display Cart page and show Page Tittle "Your Cart" with exist data order already chosen
</t>
  </si>
  <si>
    <t>TC21</t>
  </si>
  <si>
    <t>Verify continue shopping button when already in Cart page with case choose some product to order is working properly</t>
  </si>
  <si>
    <t>Checkout Complete Page</t>
  </si>
  <si>
    <t>1. User click "Add to cart" button at some product item in Dasboard page
2. User click cart icon
3. User click continue shopping button</t>
  </si>
  <si>
    <t>System display dashboard page and show remove button in some product already ordered</t>
  </si>
  <si>
    <t>TC22</t>
  </si>
  <si>
    <t>Verify continue shopping button when already in Cart page case no product ordered is working properly</t>
  </si>
  <si>
    <t>Produc is 6 item
1. Name = Sauce Labs Backpack
    price = 29.99
2. Name = Sauce Labs Bike Light
    price = 9.99
3. Name = Sauce Labs Bolt T-Shirt
    price = 15.99
4. Name = Sauce Labs Fleece Jacket
    price = 49.99
5. Name = Sauce Labs Onesie
    price = 9.99
6. Name = Test.allTheThings() T-Shirt (Red)
    price = 15.99</t>
  </si>
  <si>
    <t>1. User click cart icon
2. User click continue shopping button</t>
  </si>
  <si>
    <t>System display dashboard page and show "Add to cart" button in all product</t>
  </si>
  <si>
    <t>TC23</t>
  </si>
  <si>
    <t>Verify remove product from cart page with case still some product order is working properly</t>
  </si>
  <si>
    <t>1. User has login to SwagLab Apps
2. User has ordered some product item in Dasboard page
2. User has navigate to Cart page</t>
  </si>
  <si>
    <t>User click button "Remove" in some product item already order in Cart page</t>
  </si>
  <si>
    <t>1. Current page still in Cart page
2. product item ordered has been removed is disseaper from Cart page
3. product item ordered not selected for removal still appear in Cart page</t>
  </si>
  <si>
    <t>TC24</t>
  </si>
  <si>
    <t>All item menu</t>
  </si>
  <si>
    <t>Verify remove product from cart page with case no itrem product ordered is working properly</t>
  </si>
  <si>
    <t>User click button "Remove" in all product item already order in Cart page</t>
  </si>
  <si>
    <t>1. Current page still in Cart page
2. All product item ordered is disappear from Cart page</t>
  </si>
  <si>
    <t>TC25</t>
  </si>
  <si>
    <t>Verify check out process from cart page with case some product ordered is working properly</t>
  </si>
  <si>
    <t>User click button "Checkout"</t>
  </si>
  <si>
    <t>1. System display Check out information page
2. show three field information customer (First Name, Last Name and Zip/Postal Code) with Page Tittle "Checkout: Your Information"</t>
  </si>
  <si>
    <t>Verify check out process from cart page with case no any product ordered is working properly</t>
  </si>
  <si>
    <t>1. User has login to SwagLab Apps
2. User not ordered product item in Dasboard page
2. User has navigate to Cart page</t>
  </si>
  <si>
    <t xml:space="preserve">1. Current page still in Cart page
2. System will show throw error message "No product item ordered, User must order minimum one product" </t>
  </si>
  <si>
    <t>About menu</t>
  </si>
  <si>
    <t>TC27</t>
  </si>
  <si>
    <t>Verify layout screen Checkout page</t>
  </si>
  <si>
    <t>1. User has login to SwagLab Apps
2. User has ordered some product item in Dasboard page
2. User has navigate to Checkout page</t>
  </si>
  <si>
    <t>Check every area in Checkout page same with design</t>
  </si>
  <si>
    <t>1. System display Check out information page
2. Show three field information customer (First Name, Last Name and Zip/Postal Code)
3. Show  Page Tittle "Checkout: Your Information"
4. Display Cancel button in buttom left area
5. Display Continue button in buttom right area</t>
  </si>
  <si>
    <t>TC28</t>
  </si>
  <si>
    <t>Verify check out process with case fill checkout information by valid data is working properly</t>
  </si>
  <si>
    <t>First Name = "Asri"
Last Name = "Maspupah"
Zip/ Postal Code = "40523"</t>
  </si>
  <si>
    <t>1. User filled form checkout based on data
2. User click Continue button</t>
  </si>
  <si>
    <t>Log out</t>
  </si>
  <si>
    <t>System display Check Overview page and show all data product has been ordered
Also show data Payment Information, Shipping Information, Price Total Information (Item Total {sum of price product} and tax {8% from item total}) and Total {Item total add with tax}</t>
  </si>
  <si>
    <t>Verify check out process with case fill checkout information by invalid data
Case : First Name not filled, other field filled</t>
  </si>
  <si>
    <t>1. User has login to SwagLab Apps
2. User has ordered some product item in Dasboard page
3. User has navigate to Checkout page</t>
  </si>
  <si>
    <t>First Name = {Empty}
Last Name = "Maspupah"
Zip/ Postal Code = "40523"</t>
  </si>
  <si>
    <t xml:space="preserve">1. System will show throw error message "First Name is required"  under First Name field.
2. Current page still in Checkout page
3. field First Name display with red colour and end with cross icon </t>
  </si>
  <si>
    <t>Verify check out process with case fill checkout information by invalid data
Case : Last Name not filled, other field filled</t>
  </si>
  <si>
    <t>First Name = "Asri"
Last Name = {Empty}
Zip/ Postal Code = "40523"</t>
  </si>
  <si>
    <t xml:space="preserve">1. System will show throw error message "Last Name is required"  under Last Name field.
2. Current page still in Checkout page
3. field Last Name display with red colour and end with cross icon </t>
  </si>
  <si>
    <t>Verify check out process with case fill checkout information by invalid data
Case : Zip/ Postal code not filled, other field filled</t>
  </si>
  <si>
    <t>First Name = "Asri"
Last Name = "Maspupah"
Zip/ Postal Code = {Empty}</t>
  </si>
  <si>
    <t xml:space="preserve">1. System will show throw error message "Postal Code is required"  under Zip/ Postal Code field.
2. Current page still in Checkout page
3. field Zip/ Postal Code display with red colour and end with cross icon </t>
  </si>
  <si>
    <t>Verify check out process with case fill checkout information by invalid data
Case : All field is empty</t>
  </si>
  <si>
    <t>First Name = {Empty}
Last Name = {Empty}
Zip/ Postal Code = {Empty}</t>
  </si>
  <si>
    <t xml:space="preserve">1. Current page still in Checkout page
2. System will show throw error message "First Name is required"  under First Name field.
3. field First Name display with red colour and end with cross icon 
4. System will show throw error message "Last Name is required"  under Last Name field.
5. field Last Name display with red colour and end with cross icon 
6. System will show throw error message "Postal Code is required"  under Zip/ Postal Code field.
7. field Zip/ Postal Code display with red colour and end with cross icon </t>
  </si>
  <si>
    <t>TC33</t>
  </si>
  <si>
    <t>Verify Cancel button in Checkout page is working properly</t>
  </si>
  <si>
    <t>User click cancel button</t>
  </si>
  <si>
    <t>System display Cart page and show product item has been ordered</t>
  </si>
  <si>
    <t>TOTAL</t>
  </si>
  <si>
    <t>TC34</t>
  </si>
  <si>
    <t>Verify layout screen Checkout Overview page</t>
  </si>
  <si>
    <t>1. User has login to SwagLab Apps
2. User has ordered some product item in Dasboard page
3. User has filled Checkout information with valid data
4. User has navigate to Checkout Overview page</t>
  </si>
  <si>
    <t>Produc is 6 item
1. Name = Sauce Labs Backpack
    price = 29.99
2. Name = Sauce Labs Bike Light
    price = 9.99
3. Name = Sauce Labs Bolt T-Shirt
    price = 15.99
4. Name = Sauce Labs Fleece Jacket
    price = 49.99
5. Name = Sauce Labs Onesie
    price = 7.99
6. Name = Test.allTheThings() T-Shirt (Red)
    price = 15.99
Check Out Information
First Name = "Asri"
Last Name = "Maspupah"
Zip/ Postal Code = "40523"</t>
  </si>
  <si>
    <t>Check every area in Checkout Overview page same with design</t>
  </si>
  <si>
    <t>1. System display Check Overview page 
2. show Page Tittle "Checkout: Overview"
3. show all data product has been ordered
4. in content area show data Payment Information, Shipping Information, Price Total Information (Item Total {sum of price product} and tax {8% from item total}) and Total {Item total add with tax}
5. Display Cancel button in buttom left area
6. Display Finish button in buttom right area</t>
  </si>
  <si>
    <t>TC35</t>
  </si>
  <si>
    <t>Verify Finish button in Checkout Overview page is working properly</t>
  </si>
  <si>
    <t>user click Finish button</t>
  </si>
  <si>
    <t>1. System display Checkout Complete page and show Page Tittle "Checkout: Complete!"
2. Show notification message for order successful</t>
  </si>
  <si>
    <t>Verify Cancel button in Checkout Overview page is working properly</t>
  </si>
  <si>
    <t>user click Cancel button</t>
  </si>
  <si>
    <t>System display Checkout page</t>
  </si>
  <si>
    <t>TC37</t>
  </si>
  <si>
    <t>Verify layout screen Checkout Complete page</t>
  </si>
  <si>
    <t>1. User has login to SwagLab Apps
2. User has ordered some product item in Dasboard page
3. User has filled Checkout information with valid data
4. User has navigate to Checkout Complete page</t>
  </si>
  <si>
    <t>Check every area in Checkout Complete page same with design</t>
  </si>
  <si>
    <t>1. System display Checkout Complete page 
2. show Page Tittle "Checkout: Complete!"
3. Display checklist image in center conten page
4. Diplay information 
"Thank you for your order!
Your order has been dispatched, and will arrive just as fast as the pony can get there!"
5. Display Backhome button</t>
  </si>
  <si>
    <t>TC38</t>
  </si>
  <si>
    <t>Verify Backhome button in Checkout Complete page is working properly</t>
  </si>
  <si>
    <t>user click Backhome button</t>
  </si>
  <si>
    <t>System display Dasboard page and all product item not ordered also number of item product in Cart icon is diseappear</t>
  </si>
  <si>
    <t>TC39</t>
  </si>
  <si>
    <t>Verify All Item menu is working properly</t>
  </si>
  <si>
    <t>1. User click three bar icon in top left area
2. user click All Item menu</t>
  </si>
  <si>
    <t>Comentar still dont know to whrere</t>
  </si>
  <si>
    <t>TC40</t>
  </si>
  <si>
    <t>Verify about menu is working properly</t>
  </si>
  <si>
    <t>1. User click three bar icon in top left area
2. user click about menu</t>
  </si>
  <si>
    <t>System display about sourcelab page with url "https://saucelabs.com/"</t>
  </si>
  <si>
    <t>TC41</t>
  </si>
  <si>
    <t>Verify log out is working properly</t>
  </si>
  <si>
    <t>1. User click three bar icon in top left area
2. user click Log out menu</t>
  </si>
  <si>
    <t>1. Autentication user has been log out
2. System display login page</t>
  </si>
  <si>
    <t>1. User has login to SwagLab Apps
2. User has navigate to Dasboard
3. User has ordered some product item in Dasboard page
4. sort filter use "Price (high to low)"</t>
  </si>
  <si>
    <t>1. User click three bar icon in top left area
2. user click Reset App State menu</t>
  </si>
  <si>
    <t xml:space="preserve">1. Current page still in Dasboard page
2. System will reset state ordered back to origin, its mean all product item not ordered, number of product ordered in Cart icon is disappear and default value on the filter uses "Name (A to Z)"
3. All remove button in product item change to Add to cart button </t>
  </si>
  <si>
    <t>TC43</t>
  </si>
  <si>
    <t>Verify reset app state with case no product ordered is working properly</t>
  </si>
  <si>
    <t>1. User has login to SwagLab Apps
2. User has navigate to Dasboard
3. User not ordered product item in Dasboard page</t>
  </si>
  <si>
    <t>1. Current page still in Dasboard page
2. System will reset state ordered back to origin, its mean all product item not ordered, number of product ordered in Cart icon is disappear and and default value on the filter uses "Name (A to Z)"</t>
  </si>
  <si>
    <t>Test ID</t>
  </si>
  <si>
    <t>Case ID</t>
  </si>
  <si>
    <t>Bug Titte</t>
  </si>
  <si>
    <t>Bug Evidence</t>
  </si>
  <si>
    <t>STD-IR-001</t>
  </si>
  <si>
    <t>STD-IR-002</t>
  </si>
  <si>
    <t>STD-IR-003</t>
  </si>
  <si>
    <t>STD-IR-004</t>
  </si>
  <si>
    <t>STD-IR-005</t>
  </si>
  <si>
    <t>STD-IR-006</t>
  </si>
  <si>
    <t>STD-IR-007</t>
  </si>
  <si>
    <t>STD-IR-008</t>
  </si>
  <si>
    <t>STD-IR-009</t>
  </si>
  <si>
    <t>STD-IR-010</t>
  </si>
  <si>
    <t>STD-IR-011</t>
  </si>
  <si>
    <t>STD-IR-012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</si>
</sst>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m\ yyyy"/>
    <numFmt numFmtId="165" formatCode="d\ mmm\ yyyy"/>
  </numFmts>
  <fonts count="13" x14ac:knownFonts="1">
    <font>
      <sz val="10"/>
      <color rgb="FF000000"/>
      <name val="Arial"/>
      <scheme val="minor"/>
    </font>
    <font>
      <b/>
      <sz val="10"/>
      <color theme="1"/>
      <name val="Arial"/>
      <family val="2"/>
    </font>
    <font>
      <sz val="10"/>
      <color rgb="FF000000"/>
      <name val="Arial"/>
      <family val="2"/>
    </font>
    <font>
      <u/>
      <sz val="10"/>
      <color rgb="FF0000FF"/>
      <name val="Arial"/>
      <family val="2"/>
    </font>
    <font>
      <sz val="10"/>
      <color theme="1"/>
      <name val="Arial"/>
      <family val="2"/>
    </font>
    <font>
      <b/>
      <sz val="10"/>
      <color theme="1"/>
      <name val="Arial"/>
      <family val="2"/>
    </font>
    <font>
      <b/>
      <sz val="11"/>
      <color theme="1"/>
      <name val="Calibri"/>
      <family val="2"/>
    </font>
    <font>
      <sz val="11"/>
      <color theme="1"/>
      <name val="Calibri"/>
      <family val="2"/>
    </font>
    <font>
      <sz val="10"/>
      <name val="Arial"/>
      <family val="2"/>
    </font>
    <font>
      <sz val="10"/>
      <color theme="1"/>
      <name val="Arial"/>
      <family val="2"/>
    </font>
    <font>
      <sz val="11"/>
      <color theme="1"/>
      <name val="Arial"/>
      <family val="2"/>
    </font>
    <font>
      <sz val="10"/>
      <color rgb="FFFF0000"/>
      <name val="Arial"/>
      <family val="2"/>
    </font>
    <font>
      <sz val="8"/>
      <name val="Arial"/>
      <family val="2"/>
      <scheme val="minor"/>
    </font>
  </fonts>
  <fills count="8">
    <fill>
      <patternFill patternType="none"/>
    </fill>
    <fill>
      <patternFill patternType="gray125"/>
    </fill>
    <fill>
      <patternFill patternType="solid">
        <fgColor rgb="FFC9DAF8"/>
        <bgColor rgb="FFC9DAF8"/>
      </patternFill>
    </fill>
    <fill>
      <patternFill patternType="solid">
        <fgColor theme="0"/>
        <bgColor theme="0"/>
      </patternFill>
    </fill>
    <fill>
      <patternFill patternType="solid">
        <fgColor rgb="FFD8D8D8"/>
        <bgColor rgb="FFD8D8D8"/>
      </patternFill>
    </fill>
    <fill>
      <patternFill patternType="solid">
        <fgColor rgb="FFCFE2F3"/>
        <bgColor rgb="FFCFE2F3"/>
      </patternFill>
    </fill>
    <fill>
      <patternFill patternType="solid">
        <fgColor rgb="FFF4CCCC"/>
        <bgColor rgb="FFF4CCCC"/>
      </patternFill>
    </fill>
    <fill>
      <patternFill patternType="solid">
        <fgColor rgb="FFD9D9D9"/>
        <bgColor rgb="FFD9D9D9"/>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70">
    <xf numFmtId="0" fontId="0" fillId="0" borderId="0" xfId="0"/>
    <xf numFmtId="0" fontId="1" fillId="0" borderId="0" xfId="0" applyFont="1"/>
    <xf numFmtId="0" fontId="1" fillId="2" borderId="1" xfId="0" applyFont="1" applyFill="1" applyBorder="1" applyAlignment="1">
      <alignment horizontal="center" vertical="center"/>
    </xf>
    <xf numFmtId="0" fontId="2" fillId="0" borderId="0" xfId="0" applyFont="1"/>
    <xf numFmtId="0" fontId="1" fillId="2" borderId="1" xfId="0" applyFont="1" applyFill="1" applyBorder="1" applyAlignment="1">
      <alignment horizontal="center" vertical="center" wrapText="1"/>
    </xf>
    <xf numFmtId="0" fontId="3" fillId="0" borderId="0" xfId="0" applyFont="1"/>
    <xf numFmtId="0" fontId="1" fillId="2" borderId="2" xfId="0" applyFont="1" applyFill="1" applyBorder="1" applyAlignment="1">
      <alignment horizontal="center" vertical="center"/>
    </xf>
    <xf numFmtId="0" fontId="4" fillId="0" borderId="0" xfId="0" applyFont="1"/>
    <xf numFmtId="0" fontId="4" fillId="0" borderId="0" xfId="0" applyFont="1" applyAlignment="1">
      <alignment vertical="top"/>
    </xf>
    <xf numFmtId="0" fontId="4" fillId="0" borderId="1" xfId="0" applyFont="1" applyBorder="1" applyAlignment="1">
      <alignment vertical="top"/>
    </xf>
    <xf numFmtId="0" fontId="4" fillId="0" borderId="1" xfId="0" applyFont="1" applyBorder="1" applyAlignment="1">
      <alignment vertical="top" wrapText="1"/>
    </xf>
    <xf numFmtId="0" fontId="4" fillId="0" borderId="0" xfId="0" applyFont="1" applyAlignment="1">
      <alignment horizontal="left"/>
    </xf>
    <xf numFmtId="0" fontId="4" fillId="0" borderId="1" xfId="0" applyFont="1" applyBorder="1" applyAlignment="1">
      <alignment horizontal="left" vertical="top" wrapText="1"/>
    </xf>
    <xf numFmtId="0" fontId="2" fillId="0" borderId="0" xfId="0" applyFont="1" applyAlignment="1">
      <alignment horizontal="center" vertical="center" wrapText="1"/>
    </xf>
    <xf numFmtId="0" fontId="5" fillId="0" borderId="0" xfId="0" applyFont="1"/>
    <xf numFmtId="0" fontId="4" fillId="3" borderId="1" xfId="0" applyFont="1" applyFill="1" applyBorder="1" applyAlignment="1">
      <alignment vertical="top" wrapText="1"/>
    </xf>
    <xf numFmtId="0" fontId="1" fillId="0" borderId="0" xfId="0" applyFont="1" applyAlignment="1">
      <alignment horizontal="center" vertical="center" wrapText="1"/>
    </xf>
    <xf numFmtId="0" fontId="4" fillId="3" borderId="1" xfId="0" applyFont="1" applyFill="1" applyBorder="1" applyAlignment="1">
      <alignment vertical="top"/>
    </xf>
    <xf numFmtId="0" fontId="4" fillId="0" borderId="1" xfId="0" applyFont="1" applyBorder="1" applyAlignment="1">
      <alignment horizontal="center" vertical="top"/>
    </xf>
    <xf numFmtId="164" fontId="4" fillId="0" borderId="1" xfId="0" applyNumberFormat="1" applyFont="1" applyBorder="1" applyAlignment="1">
      <alignment horizontal="center" vertical="top"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7" fillId="0" borderId="1" xfId="0" applyFont="1" applyBorder="1" applyAlignment="1">
      <alignment horizontal="center" vertical="top"/>
    </xf>
    <xf numFmtId="165" fontId="4" fillId="0" borderId="1" xfId="0" applyNumberFormat="1" applyFont="1" applyBorder="1" applyAlignment="1">
      <alignment horizontal="left" vertical="top" wrapText="1"/>
    </xf>
    <xf numFmtId="165" fontId="4" fillId="0" borderId="1" xfId="0" applyNumberFormat="1" applyFont="1" applyBorder="1" applyAlignment="1">
      <alignment vertical="top" wrapText="1"/>
    </xf>
    <xf numFmtId="0" fontId="5" fillId="5" borderId="1" xfId="0" applyFont="1" applyFill="1" applyBorder="1" applyAlignment="1">
      <alignment horizontal="center" vertical="center"/>
    </xf>
    <xf numFmtId="0" fontId="5" fillId="5" borderId="1" xfId="0" applyFont="1" applyFill="1" applyBorder="1" applyAlignment="1">
      <alignment horizontal="center"/>
    </xf>
    <xf numFmtId="0" fontId="2" fillId="0" borderId="1" xfId="0" applyFont="1" applyBorder="1" applyAlignment="1">
      <alignment vertical="top" wrapText="1"/>
    </xf>
    <xf numFmtId="0" fontId="4" fillId="0" borderId="1" xfId="0" applyFont="1" applyBorder="1" applyAlignment="1">
      <alignment horizontal="center"/>
    </xf>
    <xf numFmtId="0" fontId="4" fillId="0" borderId="1" xfId="0" applyFont="1" applyBorder="1"/>
    <xf numFmtId="0" fontId="4" fillId="6" borderId="1" xfId="0" applyFont="1" applyFill="1" applyBorder="1" applyAlignment="1">
      <alignment horizontal="center"/>
    </xf>
    <xf numFmtId="0" fontId="9" fillId="6" borderId="1" xfId="0" applyFont="1" applyFill="1" applyBorder="1"/>
    <xf numFmtId="0" fontId="4" fillId="0" borderId="0" xfId="0" applyFont="1" applyAlignment="1">
      <alignment wrapText="1"/>
    </xf>
    <xf numFmtId="0" fontId="4" fillId="0" borderId="0" xfId="0" applyFont="1" applyAlignment="1">
      <alignment horizontal="center"/>
    </xf>
    <xf numFmtId="0" fontId="4" fillId="0" borderId="4" xfId="0" applyFont="1" applyBorder="1" applyAlignment="1">
      <alignment horizontal="center"/>
    </xf>
    <xf numFmtId="0" fontId="4" fillId="0" borderId="4" xfId="0" applyFont="1" applyBorder="1"/>
    <xf numFmtId="0" fontId="4" fillId="7" borderId="9" xfId="0" applyFont="1" applyFill="1" applyBorder="1" applyAlignment="1">
      <alignment horizontal="center"/>
    </xf>
    <xf numFmtId="0" fontId="4" fillId="7" borderId="10" xfId="0" applyFont="1" applyFill="1" applyBorder="1"/>
    <xf numFmtId="0" fontId="4" fillId="7" borderId="10" xfId="0" applyFont="1" applyFill="1" applyBorder="1" applyAlignment="1">
      <alignment horizontal="center"/>
    </xf>
    <xf numFmtId="0" fontId="4" fillId="7" borderId="3" xfId="0" applyFont="1" applyFill="1" applyBorder="1" applyAlignment="1">
      <alignment horizontal="center"/>
    </xf>
    <xf numFmtId="0" fontId="4" fillId="0" borderId="8" xfId="0" applyFont="1" applyBorder="1" applyAlignment="1">
      <alignment horizontal="center" vertical="center"/>
    </xf>
    <xf numFmtId="0" fontId="4" fillId="0" borderId="0" xfId="0" applyFont="1" applyAlignment="1">
      <alignment horizontal="center" vertical="center"/>
    </xf>
    <xf numFmtId="0" fontId="10" fillId="0" borderId="1" xfId="0" applyFont="1" applyBorder="1" applyAlignment="1">
      <alignment vertical="top" wrapText="1"/>
    </xf>
    <xf numFmtId="0" fontId="1" fillId="5" borderId="4" xfId="0" applyFont="1" applyFill="1" applyBorder="1" applyAlignment="1">
      <alignment horizontal="center" vertical="center" wrapText="1"/>
    </xf>
    <xf numFmtId="0" fontId="8" fillId="0" borderId="8" xfId="0" applyFont="1" applyBorder="1"/>
    <xf numFmtId="0" fontId="1" fillId="0" borderId="5" xfId="0" applyFont="1" applyBorder="1" applyAlignment="1">
      <alignment horizontal="center" vertical="center"/>
    </xf>
    <xf numFmtId="0" fontId="8" fillId="0" borderId="7" xfId="0" applyFont="1" applyBorder="1"/>
    <xf numFmtId="0" fontId="1" fillId="5" borderId="5" xfId="0" applyFont="1" applyFill="1" applyBorder="1" applyAlignment="1">
      <alignment horizontal="center" vertical="center" wrapText="1"/>
    </xf>
    <xf numFmtId="0" fontId="8" fillId="0" borderId="6" xfId="0" applyFont="1" applyBorder="1"/>
    <xf numFmtId="0" fontId="4" fillId="0" borderId="7" xfId="0" applyFont="1" applyBorder="1" applyAlignment="1">
      <alignment horizontal="center" vertical="top"/>
    </xf>
    <xf numFmtId="0" fontId="4" fillId="0" borderId="9" xfId="0" applyFont="1" applyBorder="1" applyAlignment="1">
      <alignment vertical="top"/>
    </xf>
    <xf numFmtId="0" fontId="6" fillId="4" borderId="11" xfId="0" applyFont="1" applyFill="1" applyBorder="1" applyAlignment="1">
      <alignment horizontal="center"/>
    </xf>
    <xf numFmtId="0" fontId="6" fillId="4" borderId="11" xfId="0" applyFont="1" applyFill="1" applyBorder="1" applyAlignment="1">
      <alignment horizontal="center" wrapText="1"/>
    </xf>
    <xf numFmtId="0" fontId="6" fillId="4" borderId="12" xfId="0" applyFont="1" applyFill="1" applyBorder="1" applyAlignment="1">
      <alignment horizontal="center"/>
    </xf>
    <xf numFmtId="0" fontId="4" fillId="0" borderId="13" xfId="0" applyFont="1" applyBorder="1" applyAlignment="1">
      <alignment horizontal="center" vertical="top"/>
    </xf>
    <xf numFmtId="0" fontId="4" fillId="0" borderId="4" xfId="0" applyFont="1" applyBorder="1" applyAlignment="1">
      <alignment vertical="top" wrapText="1"/>
    </xf>
    <xf numFmtId="0" fontId="4" fillId="0" borderId="4" xfId="0" applyFont="1" applyBorder="1" applyAlignment="1">
      <alignment horizontal="center" vertical="top"/>
    </xf>
    <xf numFmtId="0" fontId="7" fillId="0" borderId="4" xfId="0" applyFont="1" applyBorder="1" applyAlignment="1">
      <alignment horizontal="center" vertical="top"/>
    </xf>
    <xf numFmtId="165" fontId="4" fillId="0" borderId="4" xfId="0" applyNumberFormat="1" applyFont="1" applyBorder="1" applyAlignment="1">
      <alignment horizontal="left" vertical="top" wrapText="1"/>
    </xf>
    <xf numFmtId="0" fontId="4" fillId="0" borderId="4" xfId="0" applyFont="1" applyBorder="1" applyAlignment="1">
      <alignment vertical="top"/>
    </xf>
    <xf numFmtId="0" fontId="4" fillId="0" borderId="14" xfId="0" applyFont="1" applyBorder="1" applyAlignment="1">
      <alignment vertical="top"/>
    </xf>
    <xf numFmtId="0" fontId="1" fillId="2" borderId="7" xfId="0" applyFont="1" applyFill="1" applyBorder="1" applyAlignment="1">
      <alignment horizontal="center" vertical="center"/>
    </xf>
    <xf numFmtId="0" fontId="4" fillId="0" borderId="7" xfId="0" applyFont="1" applyBorder="1" applyAlignment="1">
      <alignment vertical="top"/>
    </xf>
    <xf numFmtId="0" fontId="1" fillId="2" borderId="9" xfId="0" applyFont="1" applyFill="1" applyBorder="1" applyAlignment="1">
      <alignment horizontal="center" vertical="center"/>
    </xf>
    <xf numFmtId="0" fontId="4" fillId="0" borderId="9" xfId="0" applyFont="1" applyBorder="1" applyAlignment="1">
      <alignment horizontal="center" vertical="top"/>
    </xf>
    <xf numFmtId="0" fontId="4" fillId="0" borderId="13" xfId="0" applyFont="1" applyBorder="1" applyAlignment="1">
      <alignment vertical="top"/>
    </xf>
    <xf numFmtId="0" fontId="4" fillId="3" borderId="4" xfId="0" applyFont="1" applyFill="1" applyBorder="1" applyAlignment="1">
      <alignment vertical="top" wrapText="1"/>
    </xf>
    <xf numFmtId="164" fontId="4" fillId="0" borderId="4" xfId="0" applyNumberFormat="1" applyFont="1" applyBorder="1" applyAlignment="1">
      <alignment horizontal="center" vertical="top" wrapText="1"/>
    </xf>
    <xf numFmtId="0" fontId="4" fillId="0" borderId="14" xfId="0" applyFont="1" applyBorder="1" applyAlignment="1">
      <alignment horizontal="center" vertical="top"/>
    </xf>
  </cellXfs>
  <cellStyles count="1">
    <cellStyle name="Normal" xfId="0" builtinId="0"/>
  </cellStyles>
  <dxfs count="34">
    <dxf>
      <font>
        <b/>
        <i val="0"/>
        <strike val="0"/>
        <condense val="0"/>
        <extend val="0"/>
        <outline val="0"/>
        <shadow val="0"/>
        <u val="none"/>
        <vertAlign val="baseline"/>
        <sz val="10"/>
        <color theme="1"/>
        <name val="Arial"/>
        <family val="2"/>
        <scheme val="none"/>
      </font>
      <fill>
        <patternFill patternType="solid">
          <fgColor rgb="FFC9DAF8"/>
          <bgColor rgb="FFC9DAF8"/>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family val="2"/>
        <scheme val="none"/>
      </font>
      <alignment horizontal="center" vertical="top"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numFmt numFmtId="164" formatCode="d\ mmmm\ yyyy"/>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fill>
        <patternFill patternType="solid">
          <fgColor theme="0"/>
          <bgColor theme="0"/>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i val="0"/>
        <strike val="0"/>
        <condense val="0"/>
        <extend val="0"/>
        <outline val="0"/>
        <shadow val="0"/>
        <u val="none"/>
        <vertAlign val="baseline"/>
        <sz val="11"/>
        <color theme="1"/>
        <name val="Calibri"/>
        <family val="2"/>
        <scheme val="none"/>
      </font>
      <fill>
        <patternFill patternType="solid">
          <fgColor rgb="FFD8D8D8"/>
          <bgColor rgb="FFD8D8D8"/>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family val="2"/>
        <scheme val="none"/>
      </font>
      <alignment horizontal="general" vertical="top"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numFmt numFmtId="165" formatCode="d\ mmm\ yyyy"/>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center" vertical="top"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rgb="FFB7E1CD"/>
          <bgColor rgb="FFB7E1CD"/>
        </patternFill>
      </fill>
    </dxf>
    <dxf>
      <fill>
        <patternFill patternType="solid">
          <fgColor rgb="FFD8D8D8"/>
          <bgColor rgb="FFD8D8D8"/>
        </patternFill>
      </fill>
    </dxf>
    <dxf>
      <fill>
        <patternFill patternType="solid">
          <fgColor rgb="FF7AD592"/>
          <bgColor rgb="FF7AD592"/>
        </patternFill>
      </fill>
    </dxf>
    <dxf>
      <fill>
        <patternFill patternType="solid">
          <fgColor rgb="FFF28E85"/>
          <bgColor rgb="FFF28E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7</xdr:col>
      <xdr:colOff>466725</xdr:colOff>
      <xdr:row>1</xdr:row>
      <xdr:rowOff>47625</xdr:rowOff>
    </xdr:from>
    <xdr:ext cx="2466975" cy="2190750"/>
    <xdr:grpSp>
      <xdr:nvGrpSpPr>
        <xdr:cNvPr id="2" name="Shape 2" title="Gambar">
          <a:extLst>
            <a:ext uri="{FF2B5EF4-FFF2-40B4-BE49-F238E27FC236}">
              <a16:creationId xmlns:a16="http://schemas.microsoft.com/office/drawing/2014/main" id="{00000000-0008-0000-0200-000002000000}"/>
            </a:ext>
          </a:extLst>
        </xdr:cNvPr>
        <xdr:cNvGrpSpPr/>
      </xdr:nvGrpSpPr>
      <xdr:grpSpPr>
        <a:xfrm>
          <a:off x="10398125" y="250825"/>
          <a:ext cx="2466975" cy="2190750"/>
          <a:chOff x="152400" y="152400"/>
          <a:chExt cx="6092959" cy="5410202"/>
        </a:xfrm>
      </xdr:grpSpPr>
      <xdr:pic>
        <xdr:nvPicPr>
          <xdr:cNvPr id="3" name="Shape 3">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a:alphaModFix/>
          </a:blip>
          <a:stretch>
            <a:fillRect/>
          </a:stretch>
        </xdr:blipFill>
        <xdr:spPr>
          <a:xfrm>
            <a:off x="152400" y="152400"/>
            <a:ext cx="6092959" cy="5410202"/>
          </a:xfrm>
          <a:prstGeom prst="rect">
            <a:avLst/>
          </a:prstGeom>
          <a:noFill/>
          <a:ln>
            <a:noFill/>
          </a:ln>
        </xdr:spPr>
      </xdr:pic>
      <xdr:sp macro="" textlink="">
        <xdr:nvSpPr>
          <xdr:cNvPr id="4" name="Shape 4">
            <a:extLst>
              <a:ext uri="{FF2B5EF4-FFF2-40B4-BE49-F238E27FC236}">
                <a16:creationId xmlns:a16="http://schemas.microsoft.com/office/drawing/2014/main" id="{00000000-0008-0000-0200-000004000000}"/>
              </a:ext>
            </a:extLst>
          </xdr:cNvPr>
          <xdr:cNvSpPr/>
        </xdr:nvSpPr>
        <xdr:spPr>
          <a:xfrm>
            <a:off x="2146375" y="1841975"/>
            <a:ext cx="893400" cy="3453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466725</xdr:colOff>
      <xdr:row>2</xdr:row>
      <xdr:rowOff>47625</xdr:rowOff>
    </xdr:from>
    <xdr:ext cx="2466975" cy="2190750"/>
    <xdr:grpSp>
      <xdr:nvGrpSpPr>
        <xdr:cNvPr id="5" name="Shape 2" title="Gambar">
          <a:extLst>
            <a:ext uri="{FF2B5EF4-FFF2-40B4-BE49-F238E27FC236}">
              <a16:creationId xmlns:a16="http://schemas.microsoft.com/office/drawing/2014/main" id="{00000000-0008-0000-0200-000005000000}"/>
            </a:ext>
          </a:extLst>
        </xdr:cNvPr>
        <xdr:cNvGrpSpPr/>
      </xdr:nvGrpSpPr>
      <xdr:grpSpPr>
        <a:xfrm>
          <a:off x="10398125" y="2917825"/>
          <a:ext cx="2466975" cy="2190750"/>
          <a:chOff x="152400" y="152400"/>
          <a:chExt cx="6204520" cy="5410200"/>
        </a:xfrm>
      </xdr:grpSpPr>
      <xdr:pic>
        <xdr:nvPicPr>
          <xdr:cNvPr id="6" name="Shape 5">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2">
            <a:alphaModFix/>
          </a:blip>
          <a:stretch>
            <a:fillRect/>
          </a:stretch>
        </xdr:blipFill>
        <xdr:spPr>
          <a:xfrm>
            <a:off x="152400" y="152400"/>
            <a:ext cx="6204520" cy="5410200"/>
          </a:xfrm>
          <a:prstGeom prst="rect">
            <a:avLst/>
          </a:prstGeom>
          <a:noFill/>
          <a:ln>
            <a:noFill/>
          </a:ln>
        </xdr:spPr>
      </xdr:pic>
      <xdr:sp macro="" textlink="">
        <xdr:nvSpPr>
          <xdr:cNvPr id="7" name="Shape 6">
            <a:extLst>
              <a:ext uri="{FF2B5EF4-FFF2-40B4-BE49-F238E27FC236}">
                <a16:creationId xmlns:a16="http://schemas.microsoft.com/office/drawing/2014/main" id="{00000000-0008-0000-0200-000007000000}"/>
              </a:ext>
            </a:extLst>
          </xdr:cNvPr>
          <xdr:cNvSpPr/>
        </xdr:nvSpPr>
        <xdr:spPr>
          <a:xfrm>
            <a:off x="2105775" y="1902875"/>
            <a:ext cx="883200" cy="3756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466725</xdr:colOff>
      <xdr:row>3</xdr:row>
      <xdr:rowOff>133350</xdr:rowOff>
    </xdr:from>
    <xdr:ext cx="2466975" cy="2238375"/>
    <xdr:grpSp>
      <xdr:nvGrpSpPr>
        <xdr:cNvPr id="8" name="Shape 2" title="Gambar">
          <a:extLst>
            <a:ext uri="{FF2B5EF4-FFF2-40B4-BE49-F238E27FC236}">
              <a16:creationId xmlns:a16="http://schemas.microsoft.com/office/drawing/2014/main" id="{00000000-0008-0000-0200-000008000000}"/>
            </a:ext>
          </a:extLst>
        </xdr:cNvPr>
        <xdr:cNvGrpSpPr/>
      </xdr:nvGrpSpPr>
      <xdr:grpSpPr>
        <a:xfrm>
          <a:off x="10398125" y="5670550"/>
          <a:ext cx="2466975" cy="2238375"/>
          <a:chOff x="152400" y="152400"/>
          <a:chExt cx="5934315" cy="5410202"/>
        </a:xfrm>
      </xdr:grpSpPr>
      <xdr:pic>
        <xdr:nvPicPr>
          <xdr:cNvPr id="9" name="Shape 7">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3">
            <a:alphaModFix/>
          </a:blip>
          <a:stretch>
            <a:fillRect/>
          </a:stretch>
        </xdr:blipFill>
        <xdr:spPr>
          <a:xfrm>
            <a:off x="152400" y="152400"/>
            <a:ext cx="5934315" cy="5410202"/>
          </a:xfrm>
          <a:prstGeom prst="rect">
            <a:avLst/>
          </a:prstGeom>
          <a:noFill/>
          <a:ln>
            <a:noFill/>
          </a:ln>
        </xdr:spPr>
      </xdr:pic>
      <xdr:sp macro="" textlink="">
        <xdr:nvSpPr>
          <xdr:cNvPr id="10" name="Shape 8">
            <a:extLst>
              <a:ext uri="{FF2B5EF4-FFF2-40B4-BE49-F238E27FC236}">
                <a16:creationId xmlns:a16="http://schemas.microsoft.com/office/drawing/2014/main" id="{00000000-0008-0000-0200-00000A000000}"/>
              </a:ext>
            </a:extLst>
          </xdr:cNvPr>
          <xdr:cNvSpPr/>
        </xdr:nvSpPr>
        <xdr:spPr>
          <a:xfrm>
            <a:off x="1963675" y="1750625"/>
            <a:ext cx="2253600" cy="3756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488950</xdr:colOff>
      <xdr:row>4</xdr:row>
      <xdr:rowOff>254000</xdr:rowOff>
    </xdr:from>
    <xdr:ext cx="2314575" cy="2238375"/>
    <xdr:grpSp>
      <xdr:nvGrpSpPr>
        <xdr:cNvPr id="11" name="Shape 2" title="Gambar">
          <a:extLst>
            <a:ext uri="{FF2B5EF4-FFF2-40B4-BE49-F238E27FC236}">
              <a16:creationId xmlns:a16="http://schemas.microsoft.com/office/drawing/2014/main" id="{00000000-0008-0000-0200-00000B000000}"/>
            </a:ext>
          </a:extLst>
        </xdr:cNvPr>
        <xdr:cNvGrpSpPr/>
      </xdr:nvGrpSpPr>
      <xdr:grpSpPr>
        <a:xfrm>
          <a:off x="10420350" y="8636000"/>
          <a:ext cx="2314575" cy="2238375"/>
          <a:chOff x="152400" y="152400"/>
          <a:chExt cx="5653267" cy="5410200"/>
        </a:xfrm>
      </xdr:grpSpPr>
      <xdr:pic>
        <xdr:nvPicPr>
          <xdr:cNvPr id="12" name="Shape 9">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4">
            <a:alphaModFix/>
          </a:blip>
          <a:stretch>
            <a:fillRect/>
          </a:stretch>
        </xdr:blipFill>
        <xdr:spPr>
          <a:xfrm>
            <a:off x="152400" y="152400"/>
            <a:ext cx="5653267" cy="5410200"/>
          </a:xfrm>
          <a:prstGeom prst="rect">
            <a:avLst/>
          </a:prstGeom>
          <a:noFill/>
          <a:ln>
            <a:noFill/>
          </a:ln>
        </xdr:spPr>
      </xdr:pic>
      <xdr:sp macro="" textlink="">
        <xdr:nvSpPr>
          <xdr:cNvPr id="13" name="Shape 10">
            <a:extLst>
              <a:ext uri="{FF2B5EF4-FFF2-40B4-BE49-F238E27FC236}">
                <a16:creationId xmlns:a16="http://schemas.microsoft.com/office/drawing/2014/main" id="{00000000-0008-0000-0200-00000D000000}"/>
              </a:ext>
            </a:extLst>
          </xdr:cNvPr>
          <xdr:cNvSpPr/>
        </xdr:nvSpPr>
        <xdr:spPr>
          <a:xfrm>
            <a:off x="928275" y="1801375"/>
            <a:ext cx="761400" cy="3450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488950</xdr:colOff>
      <xdr:row>5</xdr:row>
      <xdr:rowOff>228600</xdr:rowOff>
    </xdr:from>
    <xdr:ext cx="2466975" cy="2362200"/>
    <xdr:grpSp>
      <xdr:nvGrpSpPr>
        <xdr:cNvPr id="14" name="Shape 2" title="Gambar">
          <a:extLst>
            <a:ext uri="{FF2B5EF4-FFF2-40B4-BE49-F238E27FC236}">
              <a16:creationId xmlns:a16="http://schemas.microsoft.com/office/drawing/2014/main" id="{00000000-0008-0000-0200-00000E000000}"/>
            </a:ext>
          </a:extLst>
        </xdr:cNvPr>
        <xdr:cNvGrpSpPr/>
      </xdr:nvGrpSpPr>
      <xdr:grpSpPr>
        <a:xfrm>
          <a:off x="10420350" y="11633200"/>
          <a:ext cx="2466975" cy="2362200"/>
          <a:chOff x="152400" y="152400"/>
          <a:chExt cx="5622364" cy="5410199"/>
        </a:xfrm>
      </xdr:grpSpPr>
      <xdr:pic>
        <xdr:nvPicPr>
          <xdr:cNvPr id="15" name="Shape 11">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5">
            <a:alphaModFix/>
          </a:blip>
          <a:stretch>
            <a:fillRect/>
          </a:stretch>
        </xdr:blipFill>
        <xdr:spPr>
          <a:xfrm>
            <a:off x="152400" y="152400"/>
            <a:ext cx="5622364" cy="5410199"/>
          </a:xfrm>
          <a:prstGeom prst="rect">
            <a:avLst/>
          </a:prstGeom>
          <a:noFill/>
          <a:ln>
            <a:noFill/>
          </a:ln>
        </xdr:spPr>
      </xdr:pic>
      <xdr:sp macro="" textlink="">
        <xdr:nvSpPr>
          <xdr:cNvPr id="16" name="Shape 12">
            <a:extLst>
              <a:ext uri="{FF2B5EF4-FFF2-40B4-BE49-F238E27FC236}">
                <a16:creationId xmlns:a16="http://schemas.microsoft.com/office/drawing/2014/main" id="{00000000-0008-0000-0200-000010000000}"/>
              </a:ext>
            </a:extLst>
          </xdr:cNvPr>
          <xdr:cNvSpPr/>
        </xdr:nvSpPr>
        <xdr:spPr>
          <a:xfrm>
            <a:off x="826750" y="1892725"/>
            <a:ext cx="832500" cy="3960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95250</xdr:colOff>
      <xdr:row>6</xdr:row>
      <xdr:rowOff>47625</xdr:rowOff>
    </xdr:from>
    <xdr:ext cx="3209925" cy="2066925"/>
    <xdr:grpSp>
      <xdr:nvGrpSpPr>
        <xdr:cNvPr id="17" name="Shape 2" title="Gambar">
          <a:extLst>
            <a:ext uri="{FF2B5EF4-FFF2-40B4-BE49-F238E27FC236}">
              <a16:creationId xmlns:a16="http://schemas.microsoft.com/office/drawing/2014/main" id="{00000000-0008-0000-0200-000011000000}"/>
            </a:ext>
          </a:extLst>
        </xdr:cNvPr>
        <xdr:cNvGrpSpPr/>
      </xdr:nvGrpSpPr>
      <xdr:grpSpPr>
        <a:xfrm>
          <a:off x="10026650" y="14474825"/>
          <a:ext cx="3209925" cy="2066925"/>
          <a:chOff x="152400" y="152400"/>
          <a:chExt cx="6553200" cy="4197672"/>
        </a:xfrm>
      </xdr:grpSpPr>
      <xdr:pic>
        <xdr:nvPicPr>
          <xdr:cNvPr id="18" name="Shape 13">
            <a:extLst>
              <a:ext uri="{FF2B5EF4-FFF2-40B4-BE49-F238E27FC236}">
                <a16:creationId xmlns:a16="http://schemas.microsoft.com/office/drawing/2014/main" id="{00000000-0008-0000-0200-000012000000}"/>
              </a:ext>
            </a:extLst>
          </xdr:cNvPr>
          <xdr:cNvPicPr preferRelativeResize="0"/>
        </xdr:nvPicPr>
        <xdr:blipFill>
          <a:blip xmlns:r="http://schemas.openxmlformats.org/officeDocument/2006/relationships" r:embed="rId6">
            <a:alphaModFix/>
          </a:blip>
          <a:stretch>
            <a:fillRect/>
          </a:stretch>
        </xdr:blipFill>
        <xdr:spPr>
          <a:xfrm>
            <a:off x="152400" y="152400"/>
            <a:ext cx="6553200" cy="4197672"/>
          </a:xfrm>
          <a:prstGeom prst="rect">
            <a:avLst/>
          </a:prstGeom>
          <a:noFill/>
          <a:ln>
            <a:noFill/>
          </a:ln>
        </xdr:spPr>
      </xdr:pic>
      <xdr:sp macro="" textlink="">
        <xdr:nvSpPr>
          <xdr:cNvPr id="19" name="Shape 14">
            <a:extLst>
              <a:ext uri="{FF2B5EF4-FFF2-40B4-BE49-F238E27FC236}">
                <a16:creationId xmlns:a16="http://schemas.microsoft.com/office/drawing/2014/main" id="{00000000-0008-0000-0200-000013000000}"/>
              </a:ext>
            </a:extLst>
          </xdr:cNvPr>
          <xdr:cNvSpPr/>
        </xdr:nvSpPr>
        <xdr:spPr>
          <a:xfrm>
            <a:off x="2223525" y="1906650"/>
            <a:ext cx="2300700" cy="4398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20" name="Shape 15">
            <a:extLst>
              <a:ext uri="{FF2B5EF4-FFF2-40B4-BE49-F238E27FC236}">
                <a16:creationId xmlns:a16="http://schemas.microsoft.com/office/drawing/2014/main" id="{00000000-0008-0000-0200-000014000000}"/>
              </a:ext>
            </a:extLst>
          </xdr:cNvPr>
          <xdr:cNvSpPr txBox="1"/>
        </xdr:nvSpPr>
        <xdr:spPr>
          <a:xfrm>
            <a:off x="2325775" y="2448600"/>
            <a:ext cx="4218600" cy="6156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Tombol masih aktif, padahal tidak ada product pada chart</a:t>
            </a:r>
            <a:endParaRPr sz="1400"/>
          </a:p>
        </xdr:txBody>
      </xdr:sp>
    </xdr:grpSp>
    <xdr:clientData fLocksWithSheet="0"/>
  </xdr:oneCellAnchor>
  <xdr:oneCellAnchor>
    <xdr:from>
      <xdr:col>7</xdr:col>
      <xdr:colOff>152400</xdr:colOff>
      <xdr:row>7</xdr:row>
      <xdr:rowOff>152400</xdr:rowOff>
    </xdr:from>
    <xdr:ext cx="3009900" cy="2362200"/>
    <xdr:grpSp>
      <xdr:nvGrpSpPr>
        <xdr:cNvPr id="21" name="Shape 2" title="Gambar">
          <a:extLst>
            <a:ext uri="{FF2B5EF4-FFF2-40B4-BE49-F238E27FC236}">
              <a16:creationId xmlns:a16="http://schemas.microsoft.com/office/drawing/2014/main" id="{00000000-0008-0000-0200-000015000000}"/>
            </a:ext>
          </a:extLst>
        </xdr:cNvPr>
        <xdr:cNvGrpSpPr/>
      </xdr:nvGrpSpPr>
      <xdr:grpSpPr>
        <a:xfrm>
          <a:off x="10083800" y="17424400"/>
          <a:ext cx="3009900" cy="2362200"/>
          <a:chOff x="152400" y="152400"/>
          <a:chExt cx="6209034" cy="4838700"/>
        </a:xfrm>
      </xdr:grpSpPr>
      <xdr:pic>
        <xdr:nvPicPr>
          <xdr:cNvPr id="22" name="Shape 16">
            <a:extLst>
              <a:ext uri="{FF2B5EF4-FFF2-40B4-BE49-F238E27FC236}">
                <a16:creationId xmlns:a16="http://schemas.microsoft.com/office/drawing/2014/main" id="{00000000-0008-0000-0200-000016000000}"/>
              </a:ext>
            </a:extLst>
          </xdr:cNvPr>
          <xdr:cNvPicPr preferRelativeResize="0"/>
        </xdr:nvPicPr>
        <xdr:blipFill>
          <a:blip xmlns:r="http://schemas.openxmlformats.org/officeDocument/2006/relationships" r:embed="rId7">
            <a:alphaModFix/>
          </a:blip>
          <a:stretch>
            <a:fillRect/>
          </a:stretch>
        </xdr:blipFill>
        <xdr:spPr>
          <a:xfrm>
            <a:off x="152400" y="152400"/>
            <a:ext cx="6209034" cy="4838700"/>
          </a:xfrm>
          <a:prstGeom prst="rect">
            <a:avLst/>
          </a:prstGeom>
          <a:noFill/>
          <a:ln>
            <a:noFill/>
          </a:ln>
        </xdr:spPr>
      </xdr:pic>
      <xdr:sp macro="" textlink="">
        <xdr:nvSpPr>
          <xdr:cNvPr id="23" name="Shape 17">
            <a:extLst>
              <a:ext uri="{FF2B5EF4-FFF2-40B4-BE49-F238E27FC236}">
                <a16:creationId xmlns:a16="http://schemas.microsoft.com/office/drawing/2014/main" id="{00000000-0008-0000-0200-000017000000}"/>
              </a:ext>
            </a:extLst>
          </xdr:cNvPr>
          <xdr:cNvSpPr/>
        </xdr:nvSpPr>
        <xdr:spPr>
          <a:xfrm>
            <a:off x="1323675" y="3082600"/>
            <a:ext cx="3865200" cy="7362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24" name="Shape 18">
            <a:extLst>
              <a:ext uri="{FF2B5EF4-FFF2-40B4-BE49-F238E27FC236}">
                <a16:creationId xmlns:a16="http://schemas.microsoft.com/office/drawing/2014/main" id="{00000000-0008-0000-0200-000018000000}"/>
              </a:ext>
            </a:extLst>
          </xdr:cNvPr>
          <xdr:cNvSpPr/>
        </xdr:nvSpPr>
        <xdr:spPr>
          <a:xfrm>
            <a:off x="4698125" y="1782950"/>
            <a:ext cx="490500" cy="15963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104775</xdr:colOff>
      <xdr:row>8</xdr:row>
      <xdr:rowOff>161925</xdr:rowOff>
    </xdr:from>
    <xdr:ext cx="3114675" cy="2457450"/>
    <xdr:grpSp>
      <xdr:nvGrpSpPr>
        <xdr:cNvPr id="25" name="Shape 2" title="Gambar">
          <a:extLst>
            <a:ext uri="{FF2B5EF4-FFF2-40B4-BE49-F238E27FC236}">
              <a16:creationId xmlns:a16="http://schemas.microsoft.com/office/drawing/2014/main" id="{00000000-0008-0000-0200-000019000000}"/>
            </a:ext>
          </a:extLst>
        </xdr:cNvPr>
        <xdr:cNvGrpSpPr/>
      </xdr:nvGrpSpPr>
      <xdr:grpSpPr>
        <a:xfrm>
          <a:off x="10036175" y="21485225"/>
          <a:ext cx="3114675" cy="2457450"/>
          <a:chOff x="152400" y="152400"/>
          <a:chExt cx="6144680" cy="4838701"/>
        </a:xfrm>
      </xdr:grpSpPr>
      <xdr:pic>
        <xdr:nvPicPr>
          <xdr:cNvPr id="26" name="Shape 19">
            <a:extLst>
              <a:ext uri="{FF2B5EF4-FFF2-40B4-BE49-F238E27FC236}">
                <a16:creationId xmlns:a16="http://schemas.microsoft.com/office/drawing/2014/main" id="{00000000-0008-0000-0200-00001A000000}"/>
              </a:ext>
            </a:extLst>
          </xdr:cNvPr>
          <xdr:cNvPicPr preferRelativeResize="0"/>
        </xdr:nvPicPr>
        <xdr:blipFill>
          <a:blip xmlns:r="http://schemas.openxmlformats.org/officeDocument/2006/relationships" r:embed="rId8">
            <a:alphaModFix/>
          </a:blip>
          <a:stretch>
            <a:fillRect/>
          </a:stretch>
        </xdr:blipFill>
        <xdr:spPr>
          <a:xfrm>
            <a:off x="152400" y="152400"/>
            <a:ext cx="6144680" cy="4838701"/>
          </a:xfrm>
          <a:prstGeom prst="rect">
            <a:avLst/>
          </a:prstGeom>
          <a:noFill/>
          <a:ln>
            <a:noFill/>
          </a:ln>
        </xdr:spPr>
      </xdr:pic>
      <xdr:sp macro="" textlink="">
        <xdr:nvSpPr>
          <xdr:cNvPr id="27" name="Shape 20">
            <a:extLst>
              <a:ext uri="{FF2B5EF4-FFF2-40B4-BE49-F238E27FC236}">
                <a16:creationId xmlns:a16="http://schemas.microsoft.com/office/drawing/2014/main" id="{00000000-0008-0000-0200-00001B000000}"/>
              </a:ext>
            </a:extLst>
          </xdr:cNvPr>
          <xdr:cNvSpPr/>
        </xdr:nvSpPr>
        <xdr:spPr>
          <a:xfrm>
            <a:off x="1344125" y="2949675"/>
            <a:ext cx="3773400" cy="6852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28" name="Shape 21">
            <a:extLst>
              <a:ext uri="{FF2B5EF4-FFF2-40B4-BE49-F238E27FC236}">
                <a16:creationId xmlns:a16="http://schemas.microsoft.com/office/drawing/2014/main" id="{00000000-0008-0000-0200-00001C000000}"/>
              </a:ext>
            </a:extLst>
          </xdr:cNvPr>
          <xdr:cNvSpPr/>
        </xdr:nvSpPr>
        <xdr:spPr>
          <a:xfrm>
            <a:off x="4677675" y="1711375"/>
            <a:ext cx="439800" cy="13917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66675</xdr:colOff>
      <xdr:row>9</xdr:row>
      <xdr:rowOff>152400</xdr:rowOff>
    </xdr:from>
    <xdr:ext cx="3152775" cy="2286000"/>
    <xdr:grpSp>
      <xdr:nvGrpSpPr>
        <xdr:cNvPr id="29" name="Shape 2" title="Gambar">
          <a:extLst>
            <a:ext uri="{FF2B5EF4-FFF2-40B4-BE49-F238E27FC236}">
              <a16:creationId xmlns:a16="http://schemas.microsoft.com/office/drawing/2014/main" id="{00000000-0008-0000-0200-00001D000000}"/>
            </a:ext>
          </a:extLst>
        </xdr:cNvPr>
        <xdr:cNvGrpSpPr/>
      </xdr:nvGrpSpPr>
      <xdr:grpSpPr>
        <a:xfrm>
          <a:off x="9998075" y="25527000"/>
          <a:ext cx="3152775" cy="2286000"/>
          <a:chOff x="152400" y="152400"/>
          <a:chExt cx="6553201" cy="4737854"/>
        </a:xfrm>
      </xdr:grpSpPr>
      <xdr:pic>
        <xdr:nvPicPr>
          <xdr:cNvPr id="30" name="Shape 22">
            <a:extLst>
              <a:ext uri="{FF2B5EF4-FFF2-40B4-BE49-F238E27FC236}">
                <a16:creationId xmlns:a16="http://schemas.microsoft.com/office/drawing/2014/main" id="{00000000-0008-0000-0200-00001E000000}"/>
              </a:ext>
            </a:extLst>
          </xdr:cNvPr>
          <xdr:cNvPicPr preferRelativeResize="0"/>
        </xdr:nvPicPr>
        <xdr:blipFill>
          <a:blip xmlns:r="http://schemas.openxmlformats.org/officeDocument/2006/relationships" r:embed="rId9">
            <a:alphaModFix/>
          </a:blip>
          <a:stretch>
            <a:fillRect/>
          </a:stretch>
        </xdr:blipFill>
        <xdr:spPr>
          <a:xfrm>
            <a:off x="152400" y="152400"/>
            <a:ext cx="6553201" cy="4737854"/>
          </a:xfrm>
          <a:prstGeom prst="rect">
            <a:avLst/>
          </a:prstGeom>
          <a:noFill/>
          <a:ln>
            <a:noFill/>
          </a:ln>
        </xdr:spPr>
      </xdr:pic>
      <xdr:sp macro="" textlink="">
        <xdr:nvSpPr>
          <xdr:cNvPr id="31" name="Shape 23">
            <a:extLst>
              <a:ext uri="{FF2B5EF4-FFF2-40B4-BE49-F238E27FC236}">
                <a16:creationId xmlns:a16="http://schemas.microsoft.com/office/drawing/2014/main" id="{00000000-0008-0000-0200-00001F000000}"/>
              </a:ext>
            </a:extLst>
          </xdr:cNvPr>
          <xdr:cNvSpPr/>
        </xdr:nvSpPr>
        <xdr:spPr>
          <a:xfrm>
            <a:off x="1395250" y="3164400"/>
            <a:ext cx="4049400" cy="7362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32" name="Shape 24">
            <a:extLst>
              <a:ext uri="{FF2B5EF4-FFF2-40B4-BE49-F238E27FC236}">
                <a16:creationId xmlns:a16="http://schemas.microsoft.com/office/drawing/2014/main" id="{00000000-0008-0000-0200-000020000000}"/>
              </a:ext>
            </a:extLst>
          </xdr:cNvPr>
          <xdr:cNvSpPr/>
        </xdr:nvSpPr>
        <xdr:spPr>
          <a:xfrm>
            <a:off x="4984450" y="1793175"/>
            <a:ext cx="460200" cy="15348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114300</xdr:colOff>
      <xdr:row>10</xdr:row>
      <xdr:rowOff>152400</xdr:rowOff>
    </xdr:from>
    <xdr:ext cx="3067050" cy="1895475"/>
    <xdr:grpSp>
      <xdr:nvGrpSpPr>
        <xdr:cNvPr id="33" name="Shape 2" title="Gambar">
          <a:extLst>
            <a:ext uri="{FF2B5EF4-FFF2-40B4-BE49-F238E27FC236}">
              <a16:creationId xmlns:a16="http://schemas.microsoft.com/office/drawing/2014/main" id="{00000000-0008-0000-0200-000021000000}"/>
            </a:ext>
          </a:extLst>
        </xdr:cNvPr>
        <xdr:cNvGrpSpPr/>
      </xdr:nvGrpSpPr>
      <xdr:grpSpPr>
        <a:xfrm>
          <a:off x="10045700" y="29578300"/>
          <a:ext cx="3067050" cy="1895475"/>
          <a:chOff x="152400" y="152400"/>
          <a:chExt cx="7315200" cy="4487115"/>
        </a:xfrm>
      </xdr:grpSpPr>
      <xdr:pic>
        <xdr:nvPicPr>
          <xdr:cNvPr id="34" name="Shape 25">
            <a:extLst>
              <a:ext uri="{FF2B5EF4-FFF2-40B4-BE49-F238E27FC236}">
                <a16:creationId xmlns:a16="http://schemas.microsoft.com/office/drawing/2014/main" id="{00000000-0008-0000-0200-000022000000}"/>
              </a:ext>
            </a:extLst>
          </xdr:cNvPr>
          <xdr:cNvPicPr preferRelativeResize="0"/>
        </xdr:nvPicPr>
        <xdr:blipFill>
          <a:blip xmlns:r="http://schemas.openxmlformats.org/officeDocument/2006/relationships" r:embed="rId10">
            <a:alphaModFix/>
          </a:blip>
          <a:stretch>
            <a:fillRect/>
          </a:stretch>
        </xdr:blipFill>
        <xdr:spPr>
          <a:xfrm>
            <a:off x="152400" y="152400"/>
            <a:ext cx="7315200" cy="4487115"/>
          </a:xfrm>
          <a:prstGeom prst="rect">
            <a:avLst/>
          </a:prstGeom>
          <a:noFill/>
          <a:ln>
            <a:noFill/>
          </a:ln>
        </xdr:spPr>
      </xdr:pic>
      <xdr:sp macro="" textlink="">
        <xdr:nvSpPr>
          <xdr:cNvPr id="35" name="Shape 26">
            <a:extLst>
              <a:ext uri="{FF2B5EF4-FFF2-40B4-BE49-F238E27FC236}">
                <a16:creationId xmlns:a16="http://schemas.microsoft.com/office/drawing/2014/main" id="{00000000-0008-0000-0200-000023000000}"/>
              </a:ext>
            </a:extLst>
          </xdr:cNvPr>
          <xdr:cNvSpPr/>
        </xdr:nvSpPr>
        <xdr:spPr>
          <a:xfrm>
            <a:off x="1973825" y="1344575"/>
            <a:ext cx="3573300" cy="20607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152400</xdr:colOff>
      <xdr:row>11</xdr:row>
      <xdr:rowOff>152400</xdr:rowOff>
    </xdr:from>
    <xdr:ext cx="3114675" cy="1895475"/>
    <xdr:grpSp>
      <xdr:nvGrpSpPr>
        <xdr:cNvPr id="36" name="Shape 2" title="Gambar">
          <a:extLst>
            <a:ext uri="{FF2B5EF4-FFF2-40B4-BE49-F238E27FC236}">
              <a16:creationId xmlns:a16="http://schemas.microsoft.com/office/drawing/2014/main" id="{00000000-0008-0000-0200-000024000000}"/>
            </a:ext>
          </a:extLst>
        </xdr:cNvPr>
        <xdr:cNvGrpSpPr/>
      </xdr:nvGrpSpPr>
      <xdr:grpSpPr>
        <a:xfrm>
          <a:off x="10083800" y="33959800"/>
          <a:ext cx="3114675" cy="1895475"/>
          <a:chOff x="152400" y="152400"/>
          <a:chExt cx="6553198" cy="3996226"/>
        </a:xfrm>
      </xdr:grpSpPr>
      <xdr:pic>
        <xdr:nvPicPr>
          <xdr:cNvPr id="37" name="Shape 27">
            <a:extLst>
              <a:ext uri="{FF2B5EF4-FFF2-40B4-BE49-F238E27FC236}">
                <a16:creationId xmlns:a16="http://schemas.microsoft.com/office/drawing/2014/main" id="{00000000-0008-0000-0200-000025000000}"/>
              </a:ext>
            </a:extLst>
          </xdr:cNvPr>
          <xdr:cNvPicPr preferRelativeResize="0"/>
        </xdr:nvPicPr>
        <xdr:blipFill>
          <a:blip xmlns:r="http://schemas.openxmlformats.org/officeDocument/2006/relationships" r:embed="rId11">
            <a:alphaModFix/>
          </a:blip>
          <a:stretch>
            <a:fillRect/>
          </a:stretch>
        </xdr:blipFill>
        <xdr:spPr>
          <a:xfrm>
            <a:off x="152400" y="152400"/>
            <a:ext cx="6553198" cy="3996226"/>
          </a:xfrm>
          <a:prstGeom prst="rect">
            <a:avLst/>
          </a:prstGeom>
          <a:noFill/>
          <a:ln>
            <a:noFill/>
          </a:ln>
        </xdr:spPr>
      </xdr:pic>
      <xdr:sp macro="" textlink="">
        <xdr:nvSpPr>
          <xdr:cNvPr id="38" name="Shape 28">
            <a:extLst>
              <a:ext uri="{FF2B5EF4-FFF2-40B4-BE49-F238E27FC236}">
                <a16:creationId xmlns:a16="http://schemas.microsoft.com/office/drawing/2014/main" id="{00000000-0008-0000-0200-000026000000}"/>
              </a:ext>
            </a:extLst>
          </xdr:cNvPr>
          <xdr:cNvSpPr/>
        </xdr:nvSpPr>
        <xdr:spPr>
          <a:xfrm>
            <a:off x="311325" y="2653125"/>
            <a:ext cx="6288900" cy="6339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39" name="Shape 29">
            <a:extLst>
              <a:ext uri="{FF2B5EF4-FFF2-40B4-BE49-F238E27FC236}">
                <a16:creationId xmlns:a16="http://schemas.microsoft.com/office/drawing/2014/main" id="{00000000-0008-0000-0200-000027000000}"/>
              </a:ext>
            </a:extLst>
          </xdr:cNvPr>
          <xdr:cNvSpPr txBox="1"/>
        </xdr:nvSpPr>
        <xdr:spPr>
          <a:xfrm>
            <a:off x="2100800" y="2171550"/>
            <a:ext cx="41574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Seharusnya menuju chart page</a:t>
            </a:r>
            <a:endParaRPr sz="1400"/>
          </a:p>
        </xdr:txBody>
      </xdr:sp>
    </xdr:grpSp>
    <xdr:clientData fLocksWithSheet="0"/>
  </xdr:oneCellAnchor>
  <xdr:oneCellAnchor>
    <xdr:from>
      <xdr:col>7</xdr:col>
      <xdr:colOff>152400</xdr:colOff>
      <xdr:row>12</xdr:row>
      <xdr:rowOff>152400</xdr:rowOff>
    </xdr:from>
    <xdr:ext cx="2952750" cy="3790950"/>
    <xdr:grpSp>
      <xdr:nvGrpSpPr>
        <xdr:cNvPr id="40" name="Shape 2" title="Gambar">
          <a:extLst>
            <a:ext uri="{FF2B5EF4-FFF2-40B4-BE49-F238E27FC236}">
              <a16:creationId xmlns:a16="http://schemas.microsoft.com/office/drawing/2014/main" id="{00000000-0008-0000-0200-000028000000}"/>
            </a:ext>
          </a:extLst>
        </xdr:cNvPr>
        <xdr:cNvGrpSpPr/>
      </xdr:nvGrpSpPr>
      <xdr:grpSpPr>
        <a:xfrm>
          <a:off x="10083800" y="38341300"/>
          <a:ext cx="2952750" cy="3790950"/>
          <a:chOff x="152400" y="152400"/>
          <a:chExt cx="4207933" cy="5410199"/>
        </a:xfrm>
      </xdr:grpSpPr>
      <xdr:pic>
        <xdr:nvPicPr>
          <xdr:cNvPr id="41" name="Shape 30">
            <a:extLst>
              <a:ext uri="{FF2B5EF4-FFF2-40B4-BE49-F238E27FC236}">
                <a16:creationId xmlns:a16="http://schemas.microsoft.com/office/drawing/2014/main" id="{00000000-0008-0000-0200-000029000000}"/>
              </a:ext>
            </a:extLst>
          </xdr:cNvPr>
          <xdr:cNvPicPr preferRelativeResize="0"/>
        </xdr:nvPicPr>
        <xdr:blipFill>
          <a:blip xmlns:r="http://schemas.openxmlformats.org/officeDocument/2006/relationships" r:embed="rId12">
            <a:alphaModFix/>
          </a:blip>
          <a:stretch>
            <a:fillRect/>
          </a:stretch>
        </xdr:blipFill>
        <xdr:spPr>
          <a:xfrm>
            <a:off x="152400" y="152400"/>
            <a:ext cx="4207933" cy="5410199"/>
          </a:xfrm>
          <a:prstGeom prst="rect">
            <a:avLst/>
          </a:prstGeom>
          <a:noFill/>
          <a:ln>
            <a:noFill/>
          </a:ln>
        </xdr:spPr>
      </xdr:pic>
      <xdr:sp macro="" textlink="">
        <xdr:nvSpPr>
          <xdr:cNvPr id="42" name="Shape 31">
            <a:extLst>
              <a:ext uri="{FF2B5EF4-FFF2-40B4-BE49-F238E27FC236}">
                <a16:creationId xmlns:a16="http://schemas.microsoft.com/office/drawing/2014/main" id="{00000000-0008-0000-0200-00002A000000}"/>
              </a:ext>
            </a:extLst>
          </xdr:cNvPr>
          <xdr:cNvSpPr/>
        </xdr:nvSpPr>
        <xdr:spPr>
          <a:xfrm>
            <a:off x="207550" y="897950"/>
            <a:ext cx="862800" cy="2943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 </a:t>
            </a:r>
            <a:endParaRPr sz="1400"/>
          </a:p>
        </xdr:txBody>
      </xdr:sp>
      <xdr:sp macro="" textlink="">
        <xdr:nvSpPr>
          <xdr:cNvPr id="43" name="Shape 32">
            <a:extLst>
              <a:ext uri="{FF2B5EF4-FFF2-40B4-BE49-F238E27FC236}">
                <a16:creationId xmlns:a16="http://schemas.microsoft.com/office/drawing/2014/main" id="{00000000-0008-0000-0200-00002B000000}"/>
              </a:ext>
            </a:extLst>
          </xdr:cNvPr>
          <xdr:cNvSpPr/>
        </xdr:nvSpPr>
        <xdr:spPr>
          <a:xfrm>
            <a:off x="1375050" y="766125"/>
            <a:ext cx="2842200" cy="44664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 </a:t>
            </a:r>
            <a:endParaRPr sz="1400"/>
          </a:p>
        </xdr:txBody>
      </xdr:sp>
    </xdr:grp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F2428E-88E5-AF4F-A1B3-2CFA17D673D8}" name="Table2" displayName="Table2" ref="A1:L44" totalsRowShown="0" headerRowDxfId="0" tableBorderDxfId="13">
  <autoFilter ref="A1:L44" xr:uid="{42F2428E-88E5-AF4F-A1B3-2CFA17D673D8}"/>
  <tableColumns count="12">
    <tableColumn id="1" xr3:uid="{E2201619-D4E5-EF49-8755-977601B36062}" name="Test ID" dataDxfId="12"/>
    <tableColumn id="2" xr3:uid="{8F687C7E-D746-4547-8B92-FECD365C6325}" name="Test Feature" dataDxfId="11"/>
    <tableColumn id="3" xr3:uid="{49D0E865-D475-9649-A11A-69E7ADE03005}" name="Test Case Name" dataDxfId="10"/>
    <tableColumn id="4" xr3:uid="{EB1526FA-E287-6042-927D-D7131D11C495}" name="Pre-Conditions" dataDxfId="9"/>
    <tableColumn id="5" xr3:uid="{8A365C9B-6DB9-1745-B433-CC96950D6404}" name="Test Data" dataDxfId="8"/>
    <tableColumn id="6" xr3:uid="{7D1F6FEF-7F76-5F41-A6DE-F78D2A1F5483}" name="Test Steps" dataDxfId="7"/>
    <tableColumn id="7" xr3:uid="{60DD7E65-3BA3-044E-A199-93047CA28A73}" name="Expected Result" dataDxfId="6"/>
    <tableColumn id="8" xr3:uid="{3C61BCD8-A25D-654F-A679-99F4791C2190}" name="Test Type" dataDxfId="5"/>
    <tableColumn id="9" xr3:uid="{40CC9021-2816-9140-A9B1-5865F1B86B9A}" name="Test Result" dataDxfId="4"/>
    <tableColumn id="10" xr3:uid="{EA94D6F7-A3AF-C543-90BC-1E51BF8AEEBF}" name="Test PIC" dataDxfId="3"/>
    <tableColumn id="11" xr3:uid="{036188CD-76EE-D241-AC55-B805D1FCFF10}" name="Test Date" dataDxfId="2"/>
    <tableColumn id="12" xr3:uid="{AF076E31-E65D-3D47-A2A5-510127B5710F}" name="Incident ID" dataDxfId="1"/>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92BC99-9229-CE45-8203-09EA8DD148AF}" name="Table1" displayName="Table1" ref="A1:L13" totalsRowShown="0" headerRowDxfId="14" headerRowBorderDxfId="28" tableBorderDxfId="29" totalsRowBorderDxfId="27">
  <autoFilter ref="A1:L13" xr:uid="{D192BC99-9229-CE45-8203-09EA8DD148AF}"/>
  <tableColumns count="12">
    <tableColumn id="1" xr3:uid="{8C8774BC-DCE2-964B-BB25-906CFB36B999}" name="Incident ID" dataDxfId="26"/>
    <tableColumn id="2" xr3:uid="{182A5320-89B3-6746-8592-FE73691DD267}" name="Nama Fitur" dataDxfId="25"/>
    <tableColumn id="3" xr3:uid="{33A41E5D-67C2-8B43-A122-EE4733E6E946}" name="Case ID" dataDxfId="24"/>
    <tableColumn id="4" xr3:uid="{EE9D2178-4EF8-3B4F-94CE-BC9071C6EE6D}" name="Bug Titte" dataDxfId="23"/>
    <tableColumn id="5" xr3:uid="{3D4EF646-B38E-DB46-A89C-20C9A680373E}" name="Bug Severity" dataDxfId="22"/>
    <tableColumn id="6" xr3:uid="{AABA726C-ED38-EB4F-91F2-BD131DDDCD9A}" name="Bug Priority" dataDxfId="21"/>
    <tableColumn id="7" xr3:uid="{FD58A41E-9B80-3545-9EBF-313AF4F6242F}" name="Description on Issue" dataDxfId="20"/>
    <tableColumn id="8" xr3:uid="{E0C60E7E-78F3-4E48-9394-77115FC63F6B}" name="Bug Evidence" dataDxfId="19"/>
    <tableColumn id="9" xr3:uid="{216B6A8B-2AE7-1C45-B95A-952A3BADB91C}" name="Status" dataDxfId="18"/>
    <tableColumn id="10" xr3:uid="{B44751BF-558D-744C-BBE6-56FB9034BE25}" name="Date Found" dataDxfId="17"/>
    <tableColumn id="11" xr3:uid="{A5931137-3745-114D-9834-ADD736C08753}" name="Reporter" dataDxfId="16"/>
    <tableColumn id="12" xr3:uid="{CE8DE7F9-5127-3B4E-BB4E-316BF78626AD}" name="Fixed By" dataDxfId="15"/>
  </tableColumns>
  <tableStyleInfo name="TableStyleLight1"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Z51"/>
  <sheetViews>
    <sheetView workbookViewId="0"/>
  </sheetViews>
  <sheetFormatPr baseColWidth="10" defaultColWidth="12.6640625" defaultRowHeight="15" customHeight="1" x14ac:dyDescent="0.15"/>
  <cols>
    <col min="1" max="1" width="5" customWidth="1"/>
    <col min="2" max="2" width="5.1640625" customWidth="1"/>
    <col min="3" max="3" width="23.1640625" customWidth="1"/>
    <col min="4" max="6" width="10.6640625" customWidth="1"/>
    <col min="7" max="7" width="15.6640625" customWidth="1"/>
    <col min="8" max="9" width="12.6640625" customWidth="1"/>
  </cols>
  <sheetData>
    <row r="2" spans="1:26" ht="15" customHeight="1" x14ac:dyDescent="0.15">
      <c r="A2" s="1" t="s">
        <v>0</v>
      </c>
    </row>
    <row r="3" spans="1:26" ht="15" customHeight="1" x14ac:dyDescent="0.15">
      <c r="A3" s="1"/>
      <c r="B3" s="3" t="s">
        <v>1</v>
      </c>
      <c r="D3" s="5" t="s">
        <v>3</v>
      </c>
    </row>
    <row r="4" spans="1:26" ht="15" customHeight="1" x14ac:dyDescent="0.15">
      <c r="B4" s="7" t="s">
        <v>12</v>
      </c>
    </row>
    <row r="5" spans="1:26" ht="15" customHeight="1" x14ac:dyDescent="0.15">
      <c r="C5" s="7" t="s">
        <v>15</v>
      </c>
      <c r="D5" s="7" t="s">
        <v>16</v>
      </c>
    </row>
    <row r="6" spans="1:26" ht="15" customHeight="1" x14ac:dyDescent="0.15">
      <c r="C6" s="7" t="s">
        <v>17</v>
      </c>
      <c r="D6" s="7" t="s">
        <v>18</v>
      </c>
    </row>
    <row r="8" spans="1:26" ht="15" customHeight="1" x14ac:dyDescent="0.15">
      <c r="C8" s="7" t="s">
        <v>20</v>
      </c>
      <c r="D8" s="11">
        <v>43</v>
      </c>
    </row>
    <row r="9" spans="1:26" ht="15" customHeight="1" x14ac:dyDescent="0.15">
      <c r="C9" s="7" t="s">
        <v>24</v>
      </c>
      <c r="D9" s="11">
        <v>10</v>
      </c>
    </row>
    <row r="11" spans="1:26" ht="15" customHeight="1" x14ac:dyDescent="0.15">
      <c r="A11" s="13"/>
      <c r="B11" s="14" t="s">
        <v>27</v>
      </c>
      <c r="D11" s="16"/>
      <c r="E11" s="14" t="s">
        <v>29</v>
      </c>
      <c r="F11" s="16"/>
      <c r="G11" s="16"/>
      <c r="H11" s="16"/>
      <c r="I11" s="16"/>
      <c r="J11" s="16"/>
      <c r="K11" s="16"/>
      <c r="L11" s="16"/>
      <c r="M11" s="16"/>
      <c r="N11" s="16"/>
      <c r="O11" s="16"/>
      <c r="P11" s="16"/>
      <c r="Q11" s="13"/>
      <c r="R11" s="13"/>
      <c r="S11" s="13"/>
      <c r="T11" s="13"/>
      <c r="U11" s="13"/>
      <c r="V11" s="13"/>
      <c r="W11" s="13"/>
      <c r="X11" s="13"/>
      <c r="Y11" s="13"/>
      <c r="Z11" s="13"/>
    </row>
    <row r="12" spans="1:26" ht="15" customHeight="1" x14ac:dyDescent="0.15">
      <c r="A12" s="13"/>
      <c r="B12" s="20"/>
      <c r="C12" s="21" t="s">
        <v>36</v>
      </c>
      <c r="D12" s="21">
        <f>E29</f>
        <v>31</v>
      </c>
      <c r="E12" s="22" t="s">
        <v>40</v>
      </c>
      <c r="F12" s="20"/>
      <c r="G12" s="21">
        <f>SUM(H29:K29)</f>
        <v>1</v>
      </c>
      <c r="H12" s="20"/>
      <c r="I12" s="20"/>
      <c r="J12" s="20"/>
      <c r="K12" s="20"/>
      <c r="L12" s="20"/>
      <c r="M12" s="20"/>
      <c r="N12" s="20"/>
      <c r="O12" s="20"/>
      <c r="P12" s="20"/>
      <c r="Q12" s="13"/>
      <c r="R12" s="13"/>
      <c r="S12" s="13"/>
      <c r="T12" s="13"/>
      <c r="U12" s="13"/>
      <c r="V12" s="13"/>
      <c r="W12" s="13"/>
      <c r="X12" s="13"/>
      <c r="Y12" s="13"/>
      <c r="Z12" s="13"/>
    </row>
    <row r="13" spans="1:26" ht="15" customHeight="1" x14ac:dyDescent="0.15">
      <c r="A13" s="13"/>
      <c r="B13" s="20"/>
      <c r="C13" s="21" t="s">
        <v>54</v>
      </c>
      <c r="D13" s="21">
        <f>F29</f>
        <v>12</v>
      </c>
      <c r="E13" s="22" t="s">
        <v>59</v>
      </c>
      <c r="F13" s="20"/>
      <c r="G13" s="21">
        <f>SUM(L29:P29)</f>
        <v>1</v>
      </c>
      <c r="H13" s="20"/>
      <c r="I13" s="20"/>
      <c r="J13" s="20"/>
      <c r="K13" s="20"/>
      <c r="L13" s="20"/>
      <c r="M13" s="20"/>
      <c r="N13" s="20"/>
      <c r="O13" s="20"/>
      <c r="P13" s="20"/>
      <c r="Q13" s="13"/>
      <c r="R13" s="13"/>
      <c r="S13" s="13"/>
      <c r="T13" s="13"/>
      <c r="U13" s="13"/>
      <c r="V13" s="13"/>
      <c r="W13" s="13"/>
      <c r="X13" s="13"/>
      <c r="Y13" s="13"/>
      <c r="Z13" s="13"/>
    </row>
    <row r="14" spans="1:26" ht="15" customHeight="1" x14ac:dyDescent="0.15">
      <c r="A14" s="13"/>
      <c r="B14" s="20"/>
      <c r="C14" s="21" t="s">
        <v>67</v>
      </c>
      <c r="D14" s="21">
        <f>G29</f>
        <v>0</v>
      </c>
      <c r="E14" s="20"/>
      <c r="F14" s="20"/>
      <c r="G14" s="20"/>
      <c r="H14" s="20"/>
      <c r="I14" s="20"/>
      <c r="J14" s="20"/>
      <c r="K14" s="20"/>
      <c r="L14" s="20"/>
      <c r="M14" s="20"/>
      <c r="N14" s="20"/>
      <c r="O14" s="20"/>
      <c r="P14" s="20"/>
      <c r="Q14" s="13"/>
      <c r="R14" s="13"/>
      <c r="S14" s="13"/>
      <c r="T14" s="13"/>
      <c r="U14" s="13"/>
      <c r="V14" s="13"/>
      <c r="W14" s="13"/>
      <c r="X14" s="13"/>
      <c r="Y14" s="13"/>
      <c r="Z14" s="13"/>
    </row>
    <row r="15" spans="1:26" ht="15" customHeight="1" x14ac:dyDescent="0.15">
      <c r="A15" s="13"/>
      <c r="B15" s="20"/>
      <c r="C15" s="20"/>
      <c r="D15" s="20"/>
      <c r="E15" s="20"/>
      <c r="F15" s="20"/>
      <c r="G15" s="20"/>
      <c r="H15" s="20"/>
      <c r="I15" s="20"/>
      <c r="J15" s="20"/>
      <c r="K15" s="20"/>
      <c r="L15" s="20"/>
      <c r="M15" s="20"/>
      <c r="N15" s="20"/>
      <c r="O15" s="20"/>
      <c r="P15" s="20"/>
      <c r="Q15" s="13"/>
      <c r="R15" s="13"/>
      <c r="S15" s="13"/>
      <c r="T15" s="13"/>
      <c r="U15" s="13"/>
      <c r="V15" s="13"/>
      <c r="W15" s="13"/>
      <c r="X15" s="13"/>
      <c r="Y15" s="13"/>
      <c r="Z15" s="13"/>
    </row>
    <row r="16" spans="1:26" ht="15" customHeight="1" x14ac:dyDescent="0.15">
      <c r="A16" s="13"/>
      <c r="B16" s="44" t="s">
        <v>77</v>
      </c>
      <c r="C16" s="44" t="s">
        <v>81</v>
      </c>
      <c r="D16" s="44" t="s">
        <v>83</v>
      </c>
      <c r="E16" s="44" t="s">
        <v>36</v>
      </c>
      <c r="F16" s="44" t="s">
        <v>54</v>
      </c>
      <c r="G16" s="44" t="s">
        <v>67</v>
      </c>
      <c r="H16" s="48" t="s">
        <v>89</v>
      </c>
      <c r="I16" s="49"/>
      <c r="J16" s="49"/>
      <c r="K16" s="47"/>
      <c r="L16" s="48" t="s">
        <v>94</v>
      </c>
      <c r="M16" s="49"/>
      <c r="N16" s="49"/>
      <c r="O16" s="49"/>
      <c r="P16" s="47"/>
      <c r="Q16" s="13"/>
      <c r="R16" s="13"/>
      <c r="S16" s="13"/>
      <c r="T16" s="13"/>
      <c r="U16" s="13"/>
      <c r="V16" s="13"/>
      <c r="W16" s="13"/>
      <c r="X16" s="13"/>
      <c r="Y16" s="13"/>
      <c r="Z16" s="13"/>
    </row>
    <row r="17" spans="2:16" ht="15" customHeight="1" x14ac:dyDescent="0.15">
      <c r="B17" s="45"/>
      <c r="C17" s="45"/>
      <c r="D17" s="45"/>
      <c r="E17" s="45"/>
      <c r="F17" s="45"/>
      <c r="G17" s="45"/>
      <c r="H17" s="26" t="s">
        <v>99</v>
      </c>
      <c r="I17" s="26" t="s">
        <v>101</v>
      </c>
      <c r="J17" s="26" t="s">
        <v>102</v>
      </c>
      <c r="K17" s="26" t="s">
        <v>61</v>
      </c>
      <c r="L17" s="27" t="s">
        <v>99</v>
      </c>
      <c r="M17" s="27" t="s">
        <v>106</v>
      </c>
      <c r="N17" s="27" t="s">
        <v>107</v>
      </c>
      <c r="O17" s="27" t="s">
        <v>61</v>
      </c>
      <c r="P17" s="27" t="s">
        <v>63</v>
      </c>
    </row>
    <row r="18" spans="2:16" ht="15" customHeight="1" x14ac:dyDescent="0.15">
      <c r="B18" s="29">
        <v>1</v>
      </c>
      <c r="C18" s="30" t="s">
        <v>21</v>
      </c>
      <c r="D18" s="29">
        <f>COUNTIF(TestCaseResult!$B$2:$B$44,C18)</f>
        <v>7</v>
      </c>
      <c r="E18" s="31">
        <f>COUNTIF(TestCaseResult!I2:I8,"Passed")</f>
        <v>2</v>
      </c>
      <c r="F18" s="31">
        <f>COUNTIF(TestCaseResult!I2:I8,"Failed")</f>
        <v>5</v>
      </c>
      <c r="G18" s="31">
        <f>COUNTIF(TestCaseResult!I2:I8,"Requirement does not clear")</f>
        <v>0</v>
      </c>
      <c r="H18" s="31"/>
      <c r="I18" s="32"/>
      <c r="J18" s="32"/>
      <c r="K18" s="32">
        <v>1</v>
      </c>
      <c r="L18" s="32"/>
      <c r="M18" s="32"/>
      <c r="N18" s="32"/>
      <c r="O18" s="32"/>
      <c r="P18" s="32">
        <v>1</v>
      </c>
    </row>
    <row r="19" spans="2:16" ht="15" customHeight="1" x14ac:dyDescent="0.15">
      <c r="B19" s="29">
        <f t="shared" ref="B19:B27" si="0">B18+1</f>
        <v>2</v>
      </c>
      <c r="C19" s="30" t="s">
        <v>86</v>
      </c>
      <c r="D19" s="29">
        <f>COUNTIF(TestCaseResult!$B$2:$B$44,C19)</f>
        <v>10</v>
      </c>
      <c r="E19" s="31">
        <f>COUNTIF(TestCaseResult!I9:I18,"Passed")</f>
        <v>10</v>
      </c>
      <c r="F19" s="31">
        <f>COUNTIF(TestCaseResult!I9:I18,"Failed")</f>
        <v>0</v>
      </c>
      <c r="G19" s="31">
        <f>COUNTIF(TestCaseResult!I9:I18,"Requirement does not clear")</f>
        <v>0</v>
      </c>
      <c r="H19" s="31"/>
      <c r="I19" s="32"/>
      <c r="J19" s="32"/>
      <c r="K19" s="32"/>
      <c r="L19" s="32"/>
      <c r="M19" s="32"/>
      <c r="N19" s="32"/>
      <c r="O19" s="32"/>
      <c r="P19" s="32"/>
    </row>
    <row r="20" spans="2:16" ht="15" customHeight="1" x14ac:dyDescent="0.15">
      <c r="B20" s="29">
        <f t="shared" si="0"/>
        <v>3</v>
      </c>
      <c r="C20" s="30" t="s">
        <v>110</v>
      </c>
      <c r="D20" s="29">
        <f>COUNTIF(TestCaseResult!$B$2:$B$44,C20)</f>
        <v>9</v>
      </c>
      <c r="E20" s="31">
        <f>COUNTIF(TestCaseResult!I19:I27,"Passed")</f>
        <v>8</v>
      </c>
      <c r="F20" s="31">
        <f>COUNTIF(TestCaseResult!I19:I27,"Failed")</f>
        <v>1</v>
      </c>
      <c r="G20" s="31">
        <f>COUNTIF(TestCaseResult!I19:I27,"Requirement does not clear")</f>
        <v>0</v>
      </c>
      <c r="H20" s="31"/>
      <c r="I20" s="32"/>
      <c r="J20" s="32"/>
      <c r="K20" s="32"/>
      <c r="L20" s="32"/>
      <c r="M20" s="32"/>
      <c r="N20" s="32"/>
      <c r="O20" s="32"/>
      <c r="P20" s="32"/>
    </row>
    <row r="21" spans="2:16" ht="15" customHeight="1" x14ac:dyDescent="0.15">
      <c r="B21" s="29">
        <f t="shared" si="0"/>
        <v>4</v>
      </c>
      <c r="C21" s="30" t="s">
        <v>122</v>
      </c>
      <c r="D21" s="29">
        <f>COUNTIF(TestCaseResult!$B$2:$B$44,C21)</f>
        <v>7</v>
      </c>
      <c r="E21" s="31">
        <f>COUNTIF(TestCaseResult!I28:I34,"Passed")</f>
        <v>3</v>
      </c>
      <c r="F21" s="31">
        <f>COUNTIF(TestCaseResult!I28:I34,"Failed")</f>
        <v>4</v>
      </c>
      <c r="G21" s="31">
        <f>COUNTIF(TestCaseResult!I28:I34,"Requirement does not clear")</f>
        <v>0</v>
      </c>
      <c r="H21" s="31"/>
      <c r="I21" s="32"/>
      <c r="J21" s="32"/>
      <c r="K21" s="32"/>
      <c r="L21" s="32"/>
      <c r="M21" s="32"/>
      <c r="N21" s="32"/>
      <c r="O21" s="32"/>
      <c r="P21" s="32"/>
    </row>
    <row r="22" spans="2:16" ht="15" customHeight="1" x14ac:dyDescent="0.15">
      <c r="B22" s="29">
        <f t="shared" si="0"/>
        <v>5</v>
      </c>
      <c r="C22" s="30" t="s">
        <v>152</v>
      </c>
      <c r="D22" s="29">
        <f>COUNTIF(TestCaseResult!$B$2:$B$44,C22)</f>
        <v>3</v>
      </c>
      <c r="E22" s="31">
        <f>COUNTIF(TestCaseResult!I35:I37,"Passed")</f>
        <v>2</v>
      </c>
      <c r="F22" s="31">
        <f>COUNTIF(TestCaseResult!I35:I37,"Failed")</f>
        <v>1</v>
      </c>
      <c r="G22" s="31">
        <f>COUNTIF(TestCaseResult!I35:I37,"Requirement does not clear")</f>
        <v>0</v>
      </c>
      <c r="H22" s="31"/>
      <c r="I22" s="32"/>
      <c r="J22" s="32"/>
      <c r="K22" s="32"/>
      <c r="L22" s="32"/>
      <c r="M22" s="32"/>
      <c r="N22" s="32"/>
      <c r="O22" s="32"/>
      <c r="P22" s="32"/>
    </row>
    <row r="23" spans="2:16" ht="15" customHeight="1" x14ac:dyDescent="0.15">
      <c r="B23" s="29">
        <f t="shared" si="0"/>
        <v>6</v>
      </c>
      <c r="C23" s="30" t="s">
        <v>180</v>
      </c>
      <c r="D23" s="29">
        <f>COUNTIF(TestCaseResult!$B$2:$B$44,C23)</f>
        <v>2</v>
      </c>
      <c r="E23" s="31">
        <f>COUNTIF(TestCaseResult!I38:I39,"Passed")</f>
        <v>2</v>
      </c>
      <c r="F23" s="31">
        <f>COUNTIF(TestCaseResult!I38:I39,"Failed")</f>
        <v>0</v>
      </c>
      <c r="G23" s="31">
        <f>COUNTIF(TestCaseResult!I38:I39,"Requirement does not clear")</f>
        <v>0</v>
      </c>
      <c r="H23" s="31"/>
      <c r="I23" s="32"/>
      <c r="J23" s="32"/>
      <c r="K23" s="32"/>
      <c r="L23" s="32"/>
      <c r="M23" s="32"/>
      <c r="N23" s="32"/>
      <c r="O23" s="32"/>
      <c r="P23" s="32"/>
    </row>
    <row r="24" spans="2:16" ht="15" customHeight="1" x14ac:dyDescent="0.15">
      <c r="B24" s="29">
        <f t="shared" si="0"/>
        <v>7</v>
      </c>
      <c r="C24" s="30" t="s">
        <v>194</v>
      </c>
      <c r="D24" s="29">
        <f>COUNTIF(TestCaseResult!$B$2:$B$44,C24)</f>
        <v>1</v>
      </c>
      <c r="E24" s="31">
        <f>COUNTIF(TestCaseResult!I40,"Passed")</f>
        <v>1</v>
      </c>
      <c r="F24" s="31">
        <f>COUNTIF(TestCaseResult!I40,"Failed")</f>
        <v>0</v>
      </c>
      <c r="G24" s="31">
        <f>COUNTIF(TestCaseResult!I40,"Requirement does not clear")</f>
        <v>0</v>
      </c>
      <c r="H24" s="31"/>
      <c r="I24" s="32"/>
      <c r="J24" s="32"/>
      <c r="K24" s="32"/>
      <c r="L24" s="32"/>
      <c r="M24" s="32"/>
      <c r="N24" s="32"/>
      <c r="O24" s="32"/>
      <c r="P24" s="32"/>
    </row>
    <row r="25" spans="2:16" ht="15" customHeight="1" x14ac:dyDescent="0.15">
      <c r="B25" s="29">
        <f t="shared" si="0"/>
        <v>8</v>
      </c>
      <c r="C25" s="30" t="s">
        <v>205</v>
      </c>
      <c r="D25" s="29">
        <f>COUNTIF(TestCaseResult!$B$2:$B$44,C25)</f>
        <v>1</v>
      </c>
      <c r="E25" s="31">
        <f>COUNTIF(TestCaseResult!I41,"Passed")</f>
        <v>1</v>
      </c>
      <c r="F25" s="31">
        <f>COUNTIF(TestCaseResult!I41,"Failed")</f>
        <v>0</v>
      </c>
      <c r="G25" s="31">
        <f>COUNTIF(TestCaseResult!I41,"Requirement does not clear")</f>
        <v>0</v>
      </c>
      <c r="H25" s="31"/>
      <c r="I25" s="32"/>
      <c r="J25" s="32"/>
      <c r="K25" s="32"/>
      <c r="L25" s="32"/>
      <c r="M25" s="32"/>
      <c r="N25" s="32"/>
      <c r="O25" s="32"/>
      <c r="P25" s="32"/>
    </row>
    <row r="26" spans="2:16" ht="15" customHeight="1" x14ac:dyDescent="0.15">
      <c r="B26" s="29">
        <f t="shared" si="0"/>
        <v>9</v>
      </c>
      <c r="C26" s="30" t="s">
        <v>215</v>
      </c>
      <c r="D26" s="29">
        <f>COUNTIF(TestCaseResult!$B$2:$B$44,C26)</f>
        <v>1</v>
      </c>
      <c r="E26" s="31">
        <f>COUNTIF(TestCaseResult!I42,"Passed")</f>
        <v>1</v>
      </c>
      <c r="F26" s="31">
        <f>COUNTIF(TestCaseResult!I42,"Failed")</f>
        <v>0</v>
      </c>
      <c r="G26" s="31">
        <f>COUNTIF(TestCaseResult!I42,"Requirement does not clear")</f>
        <v>0</v>
      </c>
      <c r="H26" s="31"/>
      <c r="I26" s="32"/>
      <c r="J26" s="32"/>
      <c r="K26" s="32"/>
      <c r="L26" s="32"/>
      <c r="M26" s="32"/>
      <c r="N26" s="32"/>
      <c r="O26" s="32"/>
      <c r="P26" s="32"/>
    </row>
    <row r="27" spans="2:16" ht="15" customHeight="1" x14ac:dyDescent="0.15">
      <c r="B27" s="35">
        <f t="shared" si="0"/>
        <v>10</v>
      </c>
      <c r="C27" s="36" t="s">
        <v>156</v>
      </c>
      <c r="D27" s="35">
        <f>COUNTIF(TestCaseResult!$B$2:$B$44,C27)</f>
        <v>2</v>
      </c>
      <c r="E27" s="31">
        <f>COUNTIF(TestCaseResult!I43:I44,"Passed")</f>
        <v>1</v>
      </c>
      <c r="F27" s="31">
        <f>COUNTIF(TestCaseResult!I43:I44,"Failed")</f>
        <v>1</v>
      </c>
      <c r="G27" s="31">
        <f>COUNTIF(TestCaseResult!I43:I44,"Requirement does not clear")</f>
        <v>0</v>
      </c>
      <c r="H27" s="31"/>
      <c r="I27" s="32"/>
      <c r="J27" s="32"/>
      <c r="K27" s="32"/>
      <c r="L27" s="32"/>
      <c r="M27" s="32"/>
      <c r="N27" s="32"/>
      <c r="O27" s="32"/>
      <c r="P27" s="32"/>
    </row>
    <row r="28" spans="2:16" ht="15" customHeight="1" x14ac:dyDescent="0.15">
      <c r="B28" s="37"/>
      <c r="C28" s="38"/>
      <c r="D28" s="38"/>
      <c r="E28" s="39"/>
      <c r="F28" s="39"/>
      <c r="G28" s="39"/>
      <c r="H28" s="40"/>
      <c r="I28" s="40"/>
      <c r="J28" s="40"/>
      <c r="K28" s="40"/>
      <c r="L28" s="40"/>
      <c r="M28" s="40"/>
      <c r="N28" s="40"/>
      <c r="O28" s="40"/>
      <c r="P28" s="40"/>
    </row>
    <row r="29" spans="2:16" ht="15" customHeight="1" x14ac:dyDescent="0.15">
      <c r="B29" s="46" t="s">
        <v>234</v>
      </c>
      <c r="C29" s="47"/>
      <c r="D29" s="41">
        <f t="shared" ref="D29:P29" si="1">SUM(D18:D27)</f>
        <v>43</v>
      </c>
      <c r="E29" s="41">
        <f t="shared" si="1"/>
        <v>31</v>
      </c>
      <c r="F29" s="41">
        <f t="shared" si="1"/>
        <v>12</v>
      </c>
      <c r="G29" s="41">
        <f t="shared" si="1"/>
        <v>0</v>
      </c>
      <c r="H29" s="41">
        <f t="shared" si="1"/>
        <v>0</v>
      </c>
      <c r="I29" s="41">
        <f t="shared" si="1"/>
        <v>0</v>
      </c>
      <c r="J29" s="41">
        <f t="shared" si="1"/>
        <v>0</v>
      </c>
      <c r="K29" s="41">
        <f t="shared" si="1"/>
        <v>1</v>
      </c>
      <c r="L29" s="41">
        <f t="shared" si="1"/>
        <v>0</v>
      </c>
      <c r="M29" s="41">
        <f t="shared" si="1"/>
        <v>0</v>
      </c>
      <c r="N29" s="41">
        <f t="shared" si="1"/>
        <v>0</v>
      </c>
      <c r="O29" s="41">
        <f t="shared" si="1"/>
        <v>0</v>
      </c>
      <c r="P29" s="41">
        <f t="shared" si="1"/>
        <v>1</v>
      </c>
    </row>
    <row r="39" spans="9:9" ht="15" customHeight="1" x14ac:dyDescent="0.15">
      <c r="I39" s="34"/>
    </row>
    <row r="40" spans="9:9" ht="15" customHeight="1" x14ac:dyDescent="0.15">
      <c r="I40" s="34"/>
    </row>
    <row r="41" spans="9:9" ht="15" customHeight="1" x14ac:dyDescent="0.15">
      <c r="I41" s="34"/>
    </row>
    <row r="42" spans="9:9" ht="15" customHeight="1" x14ac:dyDescent="0.15">
      <c r="I42" s="34"/>
    </row>
    <row r="43" spans="9:9" ht="15" customHeight="1" x14ac:dyDescent="0.15">
      <c r="I43" s="34"/>
    </row>
    <row r="44" spans="9:9" ht="15" customHeight="1" x14ac:dyDescent="0.15">
      <c r="I44" s="34"/>
    </row>
    <row r="45" spans="9:9" ht="15" customHeight="1" x14ac:dyDescent="0.15">
      <c r="I45" s="34"/>
    </row>
    <row r="46" spans="9:9" ht="15" customHeight="1" x14ac:dyDescent="0.15">
      <c r="I46" s="34"/>
    </row>
    <row r="47" spans="9:9" ht="15" customHeight="1" x14ac:dyDescent="0.15">
      <c r="I47" s="34"/>
    </row>
    <row r="48" spans="9:9" ht="15" customHeight="1" x14ac:dyDescent="0.15">
      <c r="I48" s="34"/>
    </row>
    <row r="49" spans="9:9" ht="15" customHeight="1" x14ac:dyDescent="0.15">
      <c r="I49" s="34"/>
    </row>
    <row r="50" spans="9:9" ht="15" customHeight="1" x14ac:dyDescent="0.15">
      <c r="I50" s="34"/>
    </row>
    <row r="51" spans="9:9" ht="15" customHeight="1" x14ac:dyDescent="0.15">
      <c r="I51" s="42"/>
    </row>
  </sheetData>
  <mergeCells count="9">
    <mergeCell ref="F16:F17"/>
    <mergeCell ref="G16:G17"/>
    <mergeCell ref="H16:K16"/>
    <mergeCell ref="L16:P16"/>
    <mergeCell ref="C16:C17"/>
    <mergeCell ref="B29:C29"/>
    <mergeCell ref="B16:B17"/>
    <mergeCell ref="D16:D17"/>
    <mergeCell ref="E16:E17"/>
  </mergeCells>
  <hyperlinks>
    <hyperlink ref="D3" r:id="rId1"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18"/>
  <sheetViews>
    <sheetView tabSelected="1" topLeftCell="A35" zoomScale="87" zoomScaleNormal="120" workbookViewId="0">
      <selection activeCell="K29" sqref="K29"/>
    </sheetView>
  </sheetViews>
  <sheetFormatPr baseColWidth="10" defaultColWidth="12.6640625" defaultRowHeight="15" customHeight="1" x14ac:dyDescent="0.15"/>
  <cols>
    <col min="1" max="1" width="9.1640625" customWidth="1"/>
    <col min="2" max="2" width="13" customWidth="1"/>
    <col min="3" max="3" width="28.1640625" customWidth="1"/>
    <col min="4" max="4" width="28.6640625" customWidth="1"/>
    <col min="5" max="5" width="37.33203125" customWidth="1"/>
    <col min="6" max="6" width="38.83203125" customWidth="1"/>
    <col min="7" max="7" width="37.1640625" customWidth="1"/>
    <col min="8" max="8" width="17.33203125" customWidth="1"/>
    <col min="9" max="9" width="24" customWidth="1"/>
    <col min="11" max="11" width="16" customWidth="1"/>
  </cols>
  <sheetData>
    <row r="1" spans="1:27" ht="19.5" customHeight="1" x14ac:dyDescent="0.15">
      <c r="A1" s="62" t="s">
        <v>276</v>
      </c>
      <c r="B1" s="2" t="s">
        <v>2</v>
      </c>
      <c r="C1" s="4" t="s">
        <v>4</v>
      </c>
      <c r="D1" s="4" t="s">
        <v>5</v>
      </c>
      <c r="E1" s="4" t="s">
        <v>6</v>
      </c>
      <c r="F1" s="4" t="s">
        <v>7</v>
      </c>
      <c r="G1" s="4" t="s">
        <v>8</v>
      </c>
      <c r="H1" s="2" t="s">
        <v>9</v>
      </c>
      <c r="I1" s="2" t="s">
        <v>10</v>
      </c>
      <c r="J1" s="6" t="s">
        <v>11</v>
      </c>
      <c r="K1" s="6" t="s">
        <v>13</v>
      </c>
      <c r="L1" s="64" t="s">
        <v>14</v>
      </c>
      <c r="M1" s="8"/>
    </row>
    <row r="2" spans="1:27" ht="50.25" customHeight="1" x14ac:dyDescent="0.15">
      <c r="A2" s="63" t="s">
        <v>19</v>
      </c>
      <c r="B2" s="10" t="s">
        <v>21</v>
      </c>
      <c r="C2" s="10" t="s">
        <v>22</v>
      </c>
      <c r="D2" s="10" t="s">
        <v>23</v>
      </c>
      <c r="E2" s="12" t="s">
        <v>25</v>
      </c>
      <c r="F2" s="10" t="s">
        <v>26</v>
      </c>
      <c r="G2" s="15" t="s">
        <v>28</v>
      </c>
      <c r="H2" s="17" t="s">
        <v>30</v>
      </c>
      <c r="I2" s="10" t="s">
        <v>31</v>
      </c>
      <c r="J2" s="18" t="s">
        <v>32</v>
      </c>
      <c r="K2" s="19">
        <v>46200</v>
      </c>
      <c r="L2" s="65"/>
    </row>
    <row r="3" spans="1:27" ht="50.25" customHeight="1" x14ac:dyDescent="0.15">
      <c r="A3" s="63" t="s">
        <v>33</v>
      </c>
      <c r="B3" s="17" t="s">
        <v>21</v>
      </c>
      <c r="C3" s="15" t="s">
        <v>34</v>
      </c>
      <c r="D3" s="10" t="s">
        <v>23</v>
      </c>
      <c r="E3" s="12" t="s">
        <v>35</v>
      </c>
      <c r="F3" s="10" t="s">
        <v>37</v>
      </c>
      <c r="G3" s="15" t="s">
        <v>38</v>
      </c>
      <c r="H3" s="17" t="s">
        <v>30</v>
      </c>
      <c r="I3" s="10" t="s">
        <v>31</v>
      </c>
      <c r="J3" s="18" t="s">
        <v>32</v>
      </c>
      <c r="K3" s="19">
        <v>46200</v>
      </c>
      <c r="L3" s="65"/>
    </row>
    <row r="4" spans="1:27" ht="47.25" customHeight="1" x14ac:dyDescent="0.15">
      <c r="A4" s="63" t="s">
        <v>39</v>
      </c>
      <c r="B4" s="17" t="s">
        <v>21</v>
      </c>
      <c r="C4" s="15" t="s">
        <v>41</v>
      </c>
      <c r="D4" s="10" t="s">
        <v>23</v>
      </c>
      <c r="E4" s="12" t="s">
        <v>42</v>
      </c>
      <c r="F4" s="10" t="s">
        <v>37</v>
      </c>
      <c r="G4" s="15" t="s">
        <v>44</v>
      </c>
      <c r="H4" s="17" t="s">
        <v>45</v>
      </c>
      <c r="I4" s="10" t="s">
        <v>46</v>
      </c>
      <c r="J4" s="18" t="s">
        <v>32</v>
      </c>
      <c r="K4" s="19">
        <v>46200</v>
      </c>
      <c r="L4" s="65" t="s">
        <v>280</v>
      </c>
      <c r="M4" s="8"/>
    </row>
    <row r="5" spans="1:27" ht="56" x14ac:dyDescent="0.15">
      <c r="A5" s="63" t="s">
        <v>50</v>
      </c>
      <c r="B5" s="17" t="s">
        <v>21</v>
      </c>
      <c r="C5" s="15" t="s">
        <v>51</v>
      </c>
      <c r="D5" s="10" t="s">
        <v>23</v>
      </c>
      <c r="E5" s="12" t="s">
        <v>55</v>
      </c>
      <c r="F5" s="10" t="s">
        <v>37</v>
      </c>
      <c r="G5" s="15" t="s">
        <v>57</v>
      </c>
      <c r="H5" s="17" t="s">
        <v>45</v>
      </c>
      <c r="I5" s="10" t="s">
        <v>46</v>
      </c>
      <c r="J5" s="18" t="s">
        <v>32</v>
      </c>
      <c r="K5" s="19">
        <v>46200</v>
      </c>
      <c r="L5" s="65" t="s">
        <v>281</v>
      </c>
      <c r="M5" s="8"/>
    </row>
    <row r="6" spans="1:27" ht="56" x14ac:dyDescent="0.15">
      <c r="A6" s="63" t="s">
        <v>62</v>
      </c>
      <c r="B6" s="17" t="s">
        <v>21</v>
      </c>
      <c r="C6" s="15" t="s">
        <v>64</v>
      </c>
      <c r="D6" s="10" t="s">
        <v>23</v>
      </c>
      <c r="E6" s="12" t="s">
        <v>66</v>
      </c>
      <c r="F6" s="10" t="s">
        <v>37</v>
      </c>
      <c r="G6" s="15" t="s">
        <v>69</v>
      </c>
      <c r="H6" s="17" t="s">
        <v>45</v>
      </c>
      <c r="I6" s="10" t="s">
        <v>46</v>
      </c>
      <c r="J6" s="18" t="s">
        <v>32</v>
      </c>
      <c r="K6" s="19">
        <v>46200</v>
      </c>
      <c r="L6" s="65" t="s">
        <v>282</v>
      </c>
      <c r="M6" s="8"/>
    </row>
    <row r="7" spans="1:27" ht="56" x14ac:dyDescent="0.15">
      <c r="A7" s="63" t="s">
        <v>71</v>
      </c>
      <c r="B7" s="17" t="s">
        <v>21</v>
      </c>
      <c r="C7" s="15" t="s">
        <v>72</v>
      </c>
      <c r="D7" s="10" t="s">
        <v>23</v>
      </c>
      <c r="E7" s="12" t="s">
        <v>74</v>
      </c>
      <c r="F7" s="10" t="s">
        <v>37</v>
      </c>
      <c r="G7" s="15" t="s">
        <v>75</v>
      </c>
      <c r="H7" s="17" t="s">
        <v>45</v>
      </c>
      <c r="I7" s="10" t="s">
        <v>46</v>
      </c>
      <c r="J7" s="18" t="s">
        <v>32</v>
      </c>
      <c r="K7" s="19">
        <v>46200</v>
      </c>
      <c r="L7" s="65" t="s">
        <v>283</v>
      </c>
      <c r="M7" s="8"/>
    </row>
    <row r="8" spans="1:27" ht="56" x14ac:dyDescent="0.15">
      <c r="A8" s="63" t="s">
        <v>78</v>
      </c>
      <c r="B8" s="17" t="s">
        <v>21</v>
      </c>
      <c r="C8" s="15" t="s">
        <v>79</v>
      </c>
      <c r="D8" s="10" t="s">
        <v>23</v>
      </c>
      <c r="E8" s="12" t="s">
        <v>80</v>
      </c>
      <c r="F8" s="10" t="s">
        <v>37</v>
      </c>
      <c r="G8" s="15" t="s">
        <v>82</v>
      </c>
      <c r="H8" s="17" t="s">
        <v>45</v>
      </c>
      <c r="I8" s="10" t="s">
        <v>46</v>
      </c>
      <c r="J8" s="18" t="s">
        <v>32</v>
      </c>
      <c r="K8" s="19">
        <v>46200</v>
      </c>
      <c r="L8" s="65" t="s">
        <v>284</v>
      </c>
      <c r="M8" s="8"/>
    </row>
    <row r="9" spans="1:27" ht="182" x14ac:dyDescent="0.15">
      <c r="A9" s="63" t="s">
        <v>85</v>
      </c>
      <c r="B9" s="17" t="s">
        <v>86</v>
      </c>
      <c r="C9" s="10" t="s">
        <v>87</v>
      </c>
      <c r="D9" s="10" t="s">
        <v>88</v>
      </c>
      <c r="E9" s="10" t="s">
        <v>90</v>
      </c>
      <c r="F9" s="10" t="s">
        <v>91</v>
      </c>
      <c r="G9" s="15" t="s">
        <v>92</v>
      </c>
      <c r="H9" s="17" t="s">
        <v>30</v>
      </c>
      <c r="I9" s="10" t="s">
        <v>31</v>
      </c>
      <c r="J9" s="18" t="s">
        <v>32</v>
      </c>
      <c r="K9" s="19">
        <v>46200</v>
      </c>
      <c r="L9" s="65"/>
    </row>
    <row r="10" spans="1:27" ht="182" x14ac:dyDescent="0.15">
      <c r="A10" s="63" t="s">
        <v>96</v>
      </c>
      <c r="B10" s="17" t="s">
        <v>86</v>
      </c>
      <c r="C10" s="15" t="s">
        <v>97</v>
      </c>
      <c r="D10" s="10" t="s">
        <v>88</v>
      </c>
      <c r="E10" s="10" t="s">
        <v>90</v>
      </c>
      <c r="F10" s="10" t="s">
        <v>37</v>
      </c>
      <c r="G10" s="15" t="s">
        <v>98</v>
      </c>
      <c r="H10" s="17" t="s">
        <v>30</v>
      </c>
      <c r="I10" s="10" t="s">
        <v>31</v>
      </c>
      <c r="J10" s="18" t="s">
        <v>32</v>
      </c>
      <c r="K10" s="19">
        <v>46200</v>
      </c>
      <c r="L10" s="65"/>
    </row>
    <row r="11" spans="1:27" ht="182" x14ac:dyDescent="0.15">
      <c r="A11" s="63" t="s">
        <v>103</v>
      </c>
      <c r="B11" s="17" t="s">
        <v>86</v>
      </c>
      <c r="C11" s="15" t="s">
        <v>105</v>
      </c>
      <c r="D11" s="10" t="s">
        <v>88</v>
      </c>
      <c r="E11" s="10" t="s">
        <v>90</v>
      </c>
      <c r="F11" s="28" t="s">
        <v>108</v>
      </c>
      <c r="G11" s="15" t="s">
        <v>109</v>
      </c>
      <c r="H11" s="17" t="s">
        <v>30</v>
      </c>
      <c r="I11" s="10" t="s">
        <v>31</v>
      </c>
      <c r="J11" s="18" t="s">
        <v>32</v>
      </c>
      <c r="K11" s="19">
        <v>46200</v>
      </c>
      <c r="L11" s="65"/>
    </row>
    <row r="12" spans="1:27" ht="182" x14ac:dyDescent="0.15">
      <c r="A12" s="63" t="s">
        <v>111</v>
      </c>
      <c r="B12" s="17" t="s">
        <v>86</v>
      </c>
      <c r="C12" s="15" t="s">
        <v>114</v>
      </c>
      <c r="D12" s="10" t="s">
        <v>88</v>
      </c>
      <c r="E12" s="10" t="s">
        <v>90</v>
      </c>
      <c r="F12" s="10" t="s">
        <v>115</v>
      </c>
      <c r="G12" s="15" t="s">
        <v>116</v>
      </c>
      <c r="H12" s="17" t="s">
        <v>30</v>
      </c>
      <c r="I12" s="10" t="s">
        <v>31</v>
      </c>
      <c r="J12" s="18" t="s">
        <v>32</v>
      </c>
      <c r="K12" s="19">
        <v>46200</v>
      </c>
      <c r="L12" s="65"/>
    </row>
    <row r="13" spans="1:27" ht="182" x14ac:dyDescent="0.15">
      <c r="A13" s="63" t="s">
        <v>118</v>
      </c>
      <c r="B13" s="17" t="s">
        <v>86</v>
      </c>
      <c r="C13" s="15" t="s">
        <v>119</v>
      </c>
      <c r="D13" s="10" t="s">
        <v>88</v>
      </c>
      <c r="E13" s="10" t="s">
        <v>90</v>
      </c>
      <c r="F13" s="10" t="s">
        <v>120</v>
      </c>
      <c r="G13" s="15" t="s">
        <v>121</v>
      </c>
      <c r="H13" s="17" t="s">
        <v>30</v>
      </c>
      <c r="I13" s="10" t="s">
        <v>31</v>
      </c>
      <c r="J13" s="18" t="s">
        <v>32</v>
      </c>
      <c r="K13" s="19">
        <v>46200</v>
      </c>
      <c r="L13" s="65"/>
    </row>
    <row r="14" spans="1:27" ht="182" x14ac:dyDescent="0.15">
      <c r="A14" s="63" t="s">
        <v>125</v>
      </c>
      <c r="B14" s="17" t="s">
        <v>86</v>
      </c>
      <c r="C14" s="15" t="s">
        <v>126</v>
      </c>
      <c r="D14" s="10" t="s">
        <v>88</v>
      </c>
      <c r="E14" s="10" t="s">
        <v>90</v>
      </c>
      <c r="F14" s="10" t="s">
        <v>128</v>
      </c>
      <c r="G14" s="15" t="s">
        <v>129</v>
      </c>
      <c r="H14" s="17" t="s">
        <v>30</v>
      </c>
      <c r="I14" s="10" t="s">
        <v>31</v>
      </c>
      <c r="J14" s="18" t="s">
        <v>32</v>
      </c>
      <c r="K14" s="19">
        <v>46200</v>
      </c>
      <c r="L14" s="65"/>
    </row>
    <row r="15" spans="1:27" ht="182" x14ac:dyDescent="0.15">
      <c r="A15" s="63" t="s">
        <v>130</v>
      </c>
      <c r="B15" s="17" t="s">
        <v>86</v>
      </c>
      <c r="C15" s="15" t="s">
        <v>131</v>
      </c>
      <c r="D15" s="10" t="s">
        <v>88</v>
      </c>
      <c r="E15" s="10" t="s">
        <v>90</v>
      </c>
      <c r="F15" s="10" t="s">
        <v>134</v>
      </c>
      <c r="G15" s="15" t="s">
        <v>135</v>
      </c>
      <c r="H15" s="17" t="s">
        <v>30</v>
      </c>
      <c r="I15" s="10" t="s">
        <v>31</v>
      </c>
      <c r="J15" s="18" t="s">
        <v>32</v>
      </c>
      <c r="K15" s="19">
        <v>46200</v>
      </c>
      <c r="L15" s="65"/>
    </row>
    <row r="16" spans="1:27" ht="182" x14ac:dyDescent="0.15">
      <c r="A16" s="63" t="s">
        <v>137</v>
      </c>
      <c r="B16" s="17" t="s">
        <v>86</v>
      </c>
      <c r="C16" s="10" t="s">
        <v>138</v>
      </c>
      <c r="D16" s="10" t="s">
        <v>88</v>
      </c>
      <c r="E16" s="10" t="s">
        <v>90</v>
      </c>
      <c r="F16" s="10" t="s">
        <v>141</v>
      </c>
      <c r="G16" s="15" t="s">
        <v>142</v>
      </c>
      <c r="H16" s="17" t="s">
        <v>30</v>
      </c>
      <c r="I16" s="10" t="s">
        <v>31</v>
      </c>
      <c r="J16" s="18" t="s">
        <v>32</v>
      </c>
      <c r="K16" s="19">
        <v>46200</v>
      </c>
      <c r="L16" s="65"/>
      <c r="M16" s="8"/>
      <c r="N16" s="8"/>
      <c r="O16" s="8"/>
      <c r="P16" s="8"/>
      <c r="Q16" s="8"/>
      <c r="R16" s="8"/>
      <c r="S16" s="8"/>
      <c r="T16" s="8"/>
      <c r="U16" s="8"/>
      <c r="V16" s="8"/>
      <c r="W16" s="8"/>
      <c r="X16" s="8"/>
      <c r="Y16" s="8"/>
      <c r="Z16" s="8"/>
      <c r="AA16" s="8"/>
    </row>
    <row r="17" spans="1:27" ht="182" x14ac:dyDescent="0.15">
      <c r="A17" s="63" t="s">
        <v>145</v>
      </c>
      <c r="B17" s="17" t="s">
        <v>86</v>
      </c>
      <c r="C17" s="10" t="s">
        <v>147</v>
      </c>
      <c r="D17" s="10" t="s">
        <v>148</v>
      </c>
      <c r="E17" s="10" t="s">
        <v>90</v>
      </c>
      <c r="F17" s="10" t="s">
        <v>149</v>
      </c>
      <c r="G17" s="15" t="s">
        <v>151</v>
      </c>
      <c r="H17" s="17" t="s">
        <v>30</v>
      </c>
      <c r="I17" s="10" t="s">
        <v>31</v>
      </c>
      <c r="J17" s="18" t="s">
        <v>32</v>
      </c>
      <c r="K17" s="19">
        <v>46200</v>
      </c>
      <c r="L17" s="65"/>
      <c r="M17" s="8"/>
      <c r="N17" s="8"/>
      <c r="O17" s="8"/>
      <c r="P17" s="8"/>
      <c r="Q17" s="8"/>
      <c r="R17" s="8"/>
      <c r="S17" s="8"/>
      <c r="T17" s="8"/>
      <c r="U17" s="8"/>
      <c r="V17" s="8"/>
      <c r="W17" s="8"/>
      <c r="X17" s="8"/>
      <c r="Y17" s="8"/>
      <c r="Z17" s="8"/>
      <c r="AA17" s="8"/>
    </row>
    <row r="18" spans="1:27" ht="182" x14ac:dyDescent="0.15">
      <c r="A18" s="63" t="s">
        <v>159</v>
      </c>
      <c r="B18" s="17" t="s">
        <v>86</v>
      </c>
      <c r="C18" s="10" t="s">
        <v>160</v>
      </c>
      <c r="D18" s="10" t="s">
        <v>148</v>
      </c>
      <c r="E18" s="10" t="s">
        <v>90</v>
      </c>
      <c r="F18" s="10" t="s">
        <v>162</v>
      </c>
      <c r="G18" s="15" t="s">
        <v>163</v>
      </c>
      <c r="H18" s="17" t="s">
        <v>30</v>
      </c>
      <c r="I18" s="10" t="s">
        <v>31</v>
      </c>
      <c r="J18" s="18" t="s">
        <v>32</v>
      </c>
      <c r="K18" s="19">
        <v>46200</v>
      </c>
      <c r="L18" s="65"/>
      <c r="M18" s="8"/>
      <c r="N18" s="8"/>
      <c r="O18" s="8"/>
      <c r="P18" s="8"/>
      <c r="Q18" s="8"/>
      <c r="R18" s="8"/>
      <c r="S18" s="8"/>
      <c r="T18" s="8"/>
      <c r="U18" s="8"/>
      <c r="V18" s="8"/>
      <c r="W18" s="8"/>
      <c r="X18" s="8"/>
      <c r="Y18" s="8"/>
      <c r="Z18" s="8"/>
      <c r="AA18" s="8"/>
    </row>
    <row r="19" spans="1:27" ht="182" x14ac:dyDescent="0.15">
      <c r="A19" s="63" t="s">
        <v>164</v>
      </c>
      <c r="B19" s="9" t="s">
        <v>110</v>
      </c>
      <c r="C19" s="10" t="s">
        <v>165</v>
      </c>
      <c r="D19" s="10" t="s">
        <v>166</v>
      </c>
      <c r="E19" s="10" t="s">
        <v>90</v>
      </c>
      <c r="F19" s="10" t="s">
        <v>167</v>
      </c>
      <c r="G19" s="15" t="s">
        <v>168</v>
      </c>
      <c r="H19" s="17" t="s">
        <v>30</v>
      </c>
      <c r="I19" s="10" t="s">
        <v>31</v>
      </c>
      <c r="J19" s="18" t="s">
        <v>32</v>
      </c>
      <c r="K19" s="19">
        <v>46200</v>
      </c>
      <c r="L19" s="65"/>
      <c r="M19" s="8"/>
      <c r="N19" s="8"/>
      <c r="O19" s="8"/>
      <c r="P19" s="8"/>
      <c r="Q19" s="8"/>
      <c r="R19" s="8"/>
      <c r="S19" s="8"/>
      <c r="T19" s="8"/>
      <c r="U19" s="8"/>
      <c r="V19" s="8"/>
      <c r="W19" s="8"/>
      <c r="X19" s="8"/>
      <c r="Y19" s="8"/>
      <c r="Z19" s="8"/>
      <c r="AA19" s="8"/>
    </row>
    <row r="20" spans="1:27" ht="69" customHeight="1" x14ac:dyDescent="0.15">
      <c r="A20" s="63" t="s">
        <v>169</v>
      </c>
      <c r="B20" s="9" t="s">
        <v>110</v>
      </c>
      <c r="C20" s="10" t="s">
        <v>170</v>
      </c>
      <c r="D20" s="10" t="s">
        <v>88</v>
      </c>
      <c r="E20" s="10" t="s">
        <v>171</v>
      </c>
      <c r="F20" s="10" t="s">
        <v>172</v>
      </c>
      <c r="G20" s="15" t="s">
        <v>173</v>
      </c>
      <c r="H20" s="17" t="s">
        <v>30</v>
      </c>
      <c r="I20" s="10" t="s">
        <v>31</v>
      </c>
      <c r="J20" s="18" t="s">
        <v>32</v>
      </c>
      <c r="K20" s="19">
        <v>46200</v>
      </c>
      <c r="L20" s="65"/>
      <c r="M20" s="8"/>
      <c r="N20" s="8"/>
      <c r="O20" s="8"/>
      <c r="P20" s="8"/>
      <c r="Q20" s="8"/>
      <c r="R20" s="8"/>
      <c r="S20" s="8"/>
      <c r="T20" s="8"/>
      <c r="U20" s="8"/>
      <c r="V20" s="8"/>
      <c r="W20" s="8"/>
      <c r="X20" s="8"/>
      <c r="Y20" s="8"/>
      <c r="Z20" s="8"/>
      <c r="AA20" s="8"/>
    </row>
    <row r="21" spans="1:27" ht="182" x14ac:dyDescent="0.15">
      <c r="A21" s="63" t="s">
        <v>174</v>
      </c>
      <c r="B21" s="9" t="s">
        <v>110</v>
      </c>
      <c r="C21" s="10" t="s">
        <v>175</v>
      </c>
      <c r="D21" s="10" t="s">
        <v>88</v>
      </c>
      <c r="E21" s="10" t="s">
        <v>90</v>
      </c>
      <c r="F21" s="10" t="s">
        <v>176</v>
      </c>
      <c r="G21" s="15" t="s">
        <v>177</v>
      </c>
      <c r="H21" s="17" t="s">
        <v>30</v>
      </c>
      <c r="I21" s="10" t="s">
        <v>31</v>
      </c>
      <c r="J21" s="18" t="s">
        <v>32</v>
      </c>
      <c r="K21" s="19">
        <v>46200</v>
      </c>
      <c r="L21" s="65"/>
      <c r="M21" s="8"/>
      <c r="N21" s="8"/>
      <c r="O21" s="8"/>
      <c r="P21" s="8"/>
      <c r="Q21" s="8"/>
      <c r="R21" s="8"/>
      <c r="S21" s="8"/>
      <c r="T21" s="8"/>
      <c r="U21" s="8"/>
      <c r="V21" s="8"/>
      <c r="W21" s="8"/>
      <c r="X21" s="8"/>
      <c r="Y21" s="8"/>
      <c r="Z21" s="8"/>
      <c r="AA21" s="8"/>
    </row>
    <row r="22" spans="1:27" ht="182" x14ac:dyDescent="0.15">
      <c r="A22" s="63" t="s">
        <v>178</v>
      </c>
      <c r="B22" s="9" t="s">
        <v>110</v>
      </c>
      <c r="C22" s="10" t="s">
        <v>179</v>
      </c>
      <c r="D22" s="10" t="s">
        <v>88</v>
      </c>
      <c r="E22" s="10" t="s">
        <v>90</v>
      </c>
      <c r="F22" s="10" t="s">
        <v>181</v>
      </c>
      <c r="G22" s="15" t="s">
        <v>182</v>
      </c>
      <c r="H22" s="17" t="s">
        <v>30</v>
      </c>
      <c r="I22" s="10" t="s">
        <v>31</v>
      </c>
      <c r="J22" s="18" t="s">
        <v>32</v>
      </c>
      <c r="K22" s="19">
        <v>46200</v>
      </c>
      <c r="L22" s="65"/>
    </row>
    <row r="23" spans="1:27" ht="182" x14ac:dyDescent="0.15">
      <c r="A23" s="63" t="s">
        <v>183</v>
      </c>
      <c r="B23" s="9" t="s">
        <v>110</v>
      </c>
      <c r="C23" s="10" t="s">
        <v>184</v>
      </c>
      <c r="D23" s="10" t="s">
        <v>88</v>
      </c>
      <c r="E23" s="10" t="s">
        <v>185</v>
      </c>
      <c r="F23" s="10" t="s">
        <v>186</v>
      </c>
      <c r="G23" s="15" t="s">
        <v>187</v>
      </c>
      <c r="H23" s="17" t="s">
        <v>30</v>
      </c>
      <c r="I23" s="10" t="s">
        <v>31</v>
      </c>
      <c r="J23" s="18" t="s">
        <v>32</v>
      </c>
      <c r="K23" s="19">
        <v>46200</v>
      </c>
      <c r="L23" s="65"/>
    </row>
    <row r="24" spans="1:27" ht="182" x14ac:dyDescent="0.15">
      <c r="A24" s="63" t="s">
        <v>188</v>
      </c>
      <c r="B24" s="9" t="s">
        <v>110</v>
      </c>
      <c r="C24" s="10" t="s">
        <v>189</v>
      </c>
      <c r="D24" s="10" t="s">
        <v>190</v>
      </c>
      <c r="E24" s="10" t="s">
        <v>90</v>
      </c>
      <c r="F24" s="10" t="s">
        <v>191</v>
      </c>
      <c r="G24" s="15" t="s">
        <v>192</v>
      </c>
      <c r="H24" s="17" t="s">
        <v>30</v>
      </c>
      <c r="I24" s="10" t="s">
        <v>31</v>
      </c>
      <c r="J24" s="18" t="s">
        <v>32</v>
      </c>
      <c r="K24" s="19">
        <v>46200</v>
      </c>
      <c r="L24" s="65"/>
    </row>
    <row r="25" spans="1:27" ht="182" x14ac:dyDescent="0.15">
      <c r="A25" s="63" t="s">
        <v>193</v>
      </c>
      <c r="B25" s="9" t="s">
        <v>110</v>
      </c>
      <c r="C25" s="10" t="s">
        <v>195</v>
      </c>
      <c r="D25" s="10" t="s">
        <v>190</v>
      </c>
      <c r="E25" s="10" t="s">
        <v>90</v>
      </c>
      <c r="F25" s="10" t="s">
        <v>196</v>
      </c>
      <c r="G25" s="15" t="s">
        <v>197</v>
      </c>
      <c r="H25" s="17" t="s">
        <v>30</v>
      </c>
      <c r="I25" s="10" t="s">
        <v>31</v>
      </c>
      <c r="J25" s="18" t="s">
        <v>32</v>
      </c>
      <c r="K25" s="19">
        <v>46200</v>
      </c>
      <c r="L25" s="65"/>
    </row>
    <row r="26" spans="1:27" ht="182" x14ac:dyDescent="0.15">
      <c r="A26" s="63" t="s">
        <v>198</v>
      </c>
      <c r="B26" s="9" t="s">
        <v>110</v>
      </c>
      <c r="C26" s="10" t="s">
        <v>199</v>
      </c>
      <c r="D26" s="10" t="s">
        <v>190</v>
      </c>
      <c r="E26" s="10" t="s">
        <v>90</v>
      </c>
      <c r="F26" s="10" t="s">
        <v>200</v>
      </c>
      <c r="G26" s="15" t="s">
        <v>201</v>
      </c>
      <c r="H26" s="17" t="s">
        <v>30</v>
      </c>
      <c r="I26" s="10" t="s">
        <v>31</v>
      </c>
      <c r="J26" s="18" t="s">
        <v>32</v>
      </c>
      <c r="K26" s="19">
        <v>46200</v>
      </c>
      <c r="L26" s="65"/>
    </row>
    <row r="27" spans="1:27" ht="182" x14ac:dyDescent="0.15">
      <c r="A27" s="63" t="s">
        <v>112</v>
      </c>
      <c r="B27" s="9" t="s">
        <v>110</v>
      </c>
      <c r="C27" s="10" t="s">
        <v>202</v>
      </c>
      <c r="D27" s="10" t="s">
        <v>203</v>
      </c>
      <c r="E27" s="10" t="s">
        <v>90</v>
      </c>
      <c r="F27" s="10" t="s">
        <v>200</v>
      </c>
      <c r="G27" s="15" t="s">
        <v>204</v>
      </c>
      <c r="H27" s="17" t="s">
        <v>45</v>
      </c>
      <c r="I27" s="10" t="s">
        <v>46</v>
      </c>
      <c r="J27" s="18" t="s">
        <v>32</v>
      </c>
      <c r="K27" s="19">
        <v>46200</v>
      </c>
      <c r="L27" s="65" t="s">
        <v>285</v>
      </c>
      <c r="M27" s="8"/>
    </row>
    <row r="28" spans="1:27" ht="182" x14ac:dyDescent="0.15">
      <c r="A28" s="63" t="s">
        <v>206</v>
      </c>
      <c r="B28" s="10" t="s">
        <v>122</v>
      </c>
      <c r="C28" s="10" t="s">
        <v>207</v>
      </c>
      <c r="D28" s="10" t="s">
        <v>208</v>
      </c>
      <c r="E28" s="10" t="s">
        <v>90</v>
      </c>
      <c r="F28" s="10" t="s">
        <v>209</v>
      </c>
      <c r="G28" s="15" t="s">
        <v>210</v>
      </c>
      <c r="H28" s="9" t="s">
        <v>30</v>
      </c>
      <c r="I28" s="10" t="s">
        <v>31</v>
      </c>
      <c r="J28" s="18" t="s">
        <v>32</v>
      </c>
      <c r="K28" s="19">
        <v>46200</v>
      </c>
      <c r="L28" s="65"/>
    </row>
    <row r="29" spans="1:27" ht="112" x14ac:dyDescent="0.15">
      <c r="A29" s="63" t="s">
        <v>211</v>
      </c>
      <c r="B29" s="10" t="s">
        <v>122</v>
      </c>
      <c r="C29" s="10" t="s">
        <v>212</v>
      </c>
      <c r="D29" s="10" t="s">
        <v>208</v>
      </c>
      <c r="E29" s="10" t="s">
        <v>213</v>
      </c>
      <c r="F29" s="10" t="s">
        <v>214</v>
      </c>
      <c r="G29" s="15" t="s">
        <v>216</v>
      </c>
      <c r="H29" s="17" t="s">
        <v>30</v>
      </c>
      <c r="I29" s="10" t="s">
        <v>31</v>
      </c>
      <c r="J29" s="18" t="s">
        <v>32</v>
      </c>
      <c r="K29" s="19">
        <v>46200</v>
      </c>
      <c r="L29" s="65"/>
    </row>
    <row r="30" spans="1:27" ht="84" x14ac:dyDescent="0.15">
      <c r="A30" s="63" t="s">
        <v>123</v>
      </c>
      <c r="B30" s="10" t="s">
        <v>122</v>
      </c>
      <c r="C30" s="10" t="s">
        <v>217</v>
      </c>
      <c r="D30" s="10" t="s">
        <v>218</v>
      </c>
      <c r="E30" s="10" t="s">
        <v>219</v>
      </c>
      <c r="F30" s="10" t="s">
        <v>214</v>
      </c>
      <c r="G30" s="15" t="s">
        <v>220</v>
      </c>
      <c r="H30" s="17" t="s">
        <v>45</v>
      </c>
      <c r="I30" s="10" t="s">
        <v>46</v>
      </c>
      <c r="J30" s="18" t="s">
        <v>32</v>
      </c>
      <c r="K30" s="19">
        <v>46200</v>
      </c>
      <c r="L30" s="65" t="s">
        <v>286</v>
      </c>
      <c r="M30" s="8"/>
    </row>
    <row r="31" spans="1:27" ht="84" x14ac:dyDescent="0.15">
      <c r="A31" s="63" t="s">
        <v>132</v>
      </c>
      <c r="B31" s="10" t="s">
        <v>122</v>
      </c>
      <c r="C31" s="10" t="s">
        <v>221</v>
      </c>
      <c r="D31" s="10" t="s">
        <v>218</v>
      </c>
      <c r="E31" s="10" t="s">
        <v>222</v>
      </c>
      <c r="F31" s="10" t="s">
        <v>214</v>
      </c>
      <c r="G31" s="15" t="s">
        <v>223</v>
      </c>
      <c r="H31" s="17" t="s">
        <v>45</v>
      </c>
      <c r="I31" s="10" t="s">
        <v>46</v>
      </c>
      <c r="J31" s="18" t="s">
        <v>32</v>
      </c>
      <c r="K31" s="19">
        <v>46200</v>
      </c>
      <c r="L31" s="65" t="s">
        <v>287</v>
      </c>
      <c r="M31" s="8"/>
    </row>
    <row r="32" spans="1:27" ht="84" x14ac:dyDescent="0.15">
      <c r="A32" s="63" t="s">
        <v>139</v>
      </c>
      <c r="B32" s="10" t="s">
        <v>122</v>
      </c>
      <c r="C32" s="10" t="s">
        <v>224</v>
      </c>
      <c r="D32" s="10" t="s">
        <v>218</v>
      </c>
      <c r="E32" s="10" t="s">
        <v>225</v>
      </c>
      <c r="F32" s="10" t="s">
        <v>214</v>
      </c>
      <c r="G32" s="15" t="s">
        <v>226</v>
      </c>
      <c r="H32" s="17" t="s">
        <v>45</v>
      </c>
      <c r="I32" s="10" t="s">
        <v>46</v>
      </c>
      <c r="J32" s="18" t="s">
        <v>32</v>
      </c>
      <c r="K32" s="19">
        <v>46200</v>
      </c>
      <c r="L32" s="65" t="s">
        <v>288</v>
      </c>
      <c r="M32" s="8"/>
    </row>
    <row r="33" spans="1:13" ht="224" x14ac:dyDescent="0.15">
      <c r="A33" s="63" t="s">
        <v>144</v>
      </c>
      <c r="B33" s="10" t="s">
        <v>122</v>
      </c>
      <c r="C33" s="10" t="s">
        <v>227</v>
      </c>
      <c r="D33" s="10" t="s">
        <v>218</v>
      </c>
      <c r="E33" s="10" t="s">
        <v>228</v>
      </c>
      <c r="F33" s="10" t="s">
        <v>214</v>
      </c>
      <c r="G33" s="15" t="s">
        <v>229</v>
      </c>
      <c r="H33" s="17" t="s">
        <v>45</v>
      </c>
      <c r="I33" s="10" t="s">
        <v>46</v>
      </c>
      <c r="J33" s="18" t="s">
        <v>32</v>
      </c>
      <c r="K33" s="19">
        <v>46200</v>
      </c>
      <c r="L33" s="65" t="s">
        <v>289</v>
      </c>
      <c r="M33" s="8"/>
    </row>
    <row r="34" spans="1:13" ht="182" x14ac:dyDescent="0.15">
      <c r="A34" s="63" t="s">
        <v>230</v>
      </c>
      <c r="B34" s="10" t="s">
        <v>122</v>
      </c>
      <c r="C34" s="10" t="s">
        <v>231</v>
      </c>
      <c r="D34" s="10" t="s">
        <v>218</v>
      </c>
      <c r="E34" s="10" t="s">
        <v>90</v>
      </c>
      <c r="F34" s="10" t="s">
        <v>232</v>
      </c>
      <c r="G34" s="15" t="s">
        <v>233</v>
      </c>
      <c r="H34" s="9" t="s">
        <v>30</v>
      </c>
      <c r="I34" s="10" t="s">
        <v>31</v>
      </c>
      <c r="J34" s="18" t="s">
        <v>32</v>
      </c>
      <c r="K34" s="19">
        <v>46200</v>
      </c>
      <c r="L34" s="65"/>
    </row>
    <row r="35" spans="1:13" ht="252" x14ac:dyDescent="0.15">
      <c r="A35" s="63" t="s">
        <v>235</v>
      </c>
      <c r="B35" s="10" t="s">
        <v>152</v>
      </c>
      <c r="C35" s="10" t="s">
        <v>236</v>
      </c>
      <c r="D35" s="10" t="s">
        <v>237</v>
      </c>
      <c r="E35" s="10" t="s">
        <v>238</v>
      </c>
      <c r="F35" s="10" t="s">
        <v>239</v>
      </c>
      <c r="G35" s="15" t="s">
        <v>240</v>
      </c>
      <c r="H35" s="9" t="s">
        <v>30</v>
      </c>
      <c r="I35" s="10" t="s">
        <v>31</v>
      </c>
      <c r="J35" s="18" t="s">
        <v>32</v>
      </c>
      <c r="K35" s="19">
        <v>46200</v>
      </c>
      <c r="L35" s="65"/>
    </row>
    <row r="36" spans="1:13" ht="252" x14ac:dyDescent="0.15">
      <c r="A36" s="63" t="s">
        <v>241</v>
      </c>
      <c r="B36" s="10" t="s">
        <v>152</v>
      </c>
      <c r="C36" s="10" t="s">
        <v>242</v>
      </c>
      <c r="D36" s="10" t="s">
        <v>237</v>
      </c>
      <c r="E36" s="10" t="s">
        <v>238</v>
      </c>
      <c r="F36" s="10" t="s">
        <v>243</v>
      </c>
      <c r="G36" s="15" t="s">
        <v>244</v>
      </c>
      <c r="H36" s="9" t="s">
        <v>30</v>
      </c>
      <c r="I36" s="10" t="s">
        <v>31</v>
      </c>
      <c r="J36" s="18" t="s">
        <v>32</v>
      </c>
      <c r="K36" s="19">
        <v>46200</v>
      </c>
      <c r="L36" s="65"/>
    </row>
    <row r="37" spans="1:13" ht="252" x14ac:dyDescent="0.15">
      <c r="A37" s="63" t="s">
        <v>153</v>
      </c>
      <c r="B37" s="10" t="s">
        <v>152</v>
      </c>
      <c r="C37" s="10" t="s">
        <v>245</v>
      </c>
      <c r="D37" s="10" t="s">
        <v>237</v>
      </c>
      <c r="E37" s="10" t="s">
        <v>238</v>
      </c>
      <c r="F37" s="10" t="s">
        <v>246</v>
      </c>
      <c r="G37" s="15" t="s">
        <v>247</v>
      </c>
      <c r="H37" s="9" t="s">
        <v>30</v>
      </c>
      <c r="I37" s="10" t="s">
        <v>46</v>
      </c>
      <c r="J37" s="18" t="s">
        <v>32</v>
      </c>
      <c r="K37" s="19">
        <v>46200</v>
      </c>
      <c r="L37" s="65" t="s">
        <v>290</v>
      </c>
      <c r="M37" s="8"/>
    </row>
    <row r="38" spans="1:13" ht="252" x14ac:dyDescent="0.15">
      <c r="A38" s="63" t="s">
        <v>248</v>
      </c>
      <c r="B38" s="10" t="s">
        <v>180</v>
      </c>
      <c r="C38" s="10" t="s">
        <v>249</v>
      </c>
      <c r="D38" s="10" t="s">
        <v>250</v>
      </c>
      <c r="E38" s="10" t="s">
        <v>238</v>
      </c>
      <c r="F38" s="10" t="s">
        <v>251</v>
      </c>
      <c r="G38" s="15" t="s">
        <v>252</v>
      </c>
      <c r="H38" s="9" t="s">
        <v>30</v>
      </c>
      <c r="I38" s="10" t="s">
        <v>31</v>
      </c>
      <c r="J38" s="18" t="s">
        <v>32</v>
      </c>
      <c r="K38" s="19">
        <v>46200</v>
      </c>
      <c r="L38" s="65"/>
    </row>
    <row r="39" spans="1:13" ht="252" x14ac:dyDescent="0.15">
      <c r="A39" s="63" t="s">
        <v>253</v>
      </c>
      <c r="B39" s="10" t="s">
        <v>180</v>
      </c>
      <c r="C39" s="10" t="s">
        <v>254</v>
      </c>
      <c r="D39" s="10" t="s">
        <v>250</v>
      </c>
      <c r="E39" s="10" t="s">
        <v>238</v>
      </c>
      <c r="F39" s="10" t="s">
        <v>255</v>
      </c>
      <c r="G39" s="15" t="s">
        <v>256</v>
      </c>
      <c r="H39" s="9" t="s">
        <v>30</v>
      </c>
      <c r="I39" s="10" t="s">
        <v>31</v>
      </c>
      <c r="J39" s="18" t="s">
        <v>32</v>
      </c>
      <c r="K39" s="19">
        <v>46200</v>
      </c>
      <c r="L39" s="65"/>
    </row>
    <row r="40" spans="1:13" ht="30" customHeight="1" x14ac:dyDescent="0.15">
      <c r="A40" s="63" t="s">
        <v>257</v>
      </c>
      <c r="B40" s="10" t="s">
        <v>194</v>
      </c>
      <c r="C40" s="10" t="s">
        <v>258</v>
      </c>
      <c r="D40" s="10" t="s">
        <v>88</v>
      </c>
      <c r="E40" s="10" t="s">
        <v>25</v>
      </c>
      <c r="F40" s="10" t="s">
        <v>259</v>
      </c>
      <c r="G40" s="15" t="s">
        <v>260</v>
      </c>
      <c r="H40" s="9" t="s">
        <v>30</v>
      </c>
      <c r="I40" s="43" t="s">
        <v>31</v>
      </c>
      <c r="J40" s="18" t="s">
        <v>32</v>
      </c>
      <c r="K40" s="19">
        <v>46200</v>
      </c>
      <c r="L40" s="65"/>
    </row>
    <row r="41" spans="1:13" ht="27" customHeight="1" x14ac:dyDescent="0.15">
      <c r="A41" s="63" t="s">
        <v>261</v>
      </c>
      <c r="B41" s="10" t="s">
        <v>205</v>
      </c>
      <c r="C41" s="10" t="s">
        <v>262</v>
      </c>
      <c r="D41" s="10" t="s">
        <v>88</v>
      </c>
      <c r="E41" s="10" t="s">
        <v>25</v>
      </c>
      <c r="F41" s="10" t="s">
        <v>263</v>
      </c>
      <c r="G41" s="15" t="s">
        <v>264</v>
      </c>
      <c r="H41" s="9" t="s">
        <v>30</v>
      </c>
      <c r="I41" s="10" t="s">
        <v>31</v>
      </c>
      <c r="J41" s="18" t="s">
        <v>32</v>
      </c>
      <c r="K41" s="19">
        <v>46200</v>
      </c>
      <c r="L41" s="65"/>
    </row>
    <row r="42" spans="1:13" ht="26.25" customHeight="1" x14ac:dyDescent="0.15">
      <c r="A42" s="63" t="s">
        <v>265</v>
      </c>
      <c r="B42" s="10" t="s">
        <v>215</v>
      </c>
      <c r="C42" s="10" t="s">
        <v>266</v>
      </c>
      <c r="D42" s="10" t="s">
        <v>88</v>
      </c>
      <c r="E42" s="10" t="s">
        <v>25</v>
      </c>
      <c r="F42" s="10" t="s">
        <v>267</v>
      </c>
      <c r="G42" s="15" t="s">
        <v>268</v>
      </c>
      <c r="H42" s="9" t="s">
        <v>30</v>
      </c>
      <c r="I42" s="10" t="s">
        <v>31</v>
      </c>
      <c r="J42" s="18" t="s">
        <v>32</v>
      </c>
      <c r="K42" s="19">
        <v>46200</v>
      </c>
      <c r="L42" s="65"/>
    </row>
    <row r="43" spans="1:13" ht="182" x14ac:dyDescent="0.15">
      <c r="A43" s="63" t="s">
        <v>157</v>
      </c>
      <c r="B43" s="10" t="s">
        <v>156</v>
      </c>
      <c r="C43" s="10" t="s">
        <v>158</v>
      </c>
      <c r="D43" s="10" t="s">
        <v>269</v>
      </c>
      <c r="E43" s="10" t="s">
        <v>90</v>
      </c>
      <c r="F43" s="10" t="s">
        <v>270</v>
      </c>
      <c r="G43" s="15" t="s">
        <v>271</v>
      </c>
      <c r="H43" s="9" t="s">
        <v>30</v>
      </c>
      <c r="I43" s="10" t="s">
        <v>46</v>
      </c>
      <c r="J43" s="18" t="s">
        <v>32</v>
      </c>
      <c r="K43" s="19">
        <v>46200</v>
      </c>
      <c r="L43" s="65" t="s">
        <v>291</v>
      </c>
      <c r="M43" s="8"/>
    </row>
    <row r="44" spans="1:13" ht="182" x14ac:dyDescent="0.15">
      <c r="A44" s="66" t="s">
        <v>272</v>
      </c>
      <c r="B44" s="56" t="s">
        <v>156</v>
      </c>
      <c r="C44" s="56" t="s">
        <v>273</v>
      </c>
      <c r="D44" s="56" t="s">
        <v>274</v>
      </c>
      <c r="E44" s="56" t="s">
        <v>90</v>
      </c>
      <c r="F44" s="56" t="s">
        <v>270</v>
      </c>
      <c r="G44" s="67" t="s">
        <v>275</v>
      </c>
      <c r="H44" s="60" t="s">
        <v>30</v>
      </c>
      <c r="I44" s="56" t="s">
        <v>31</v>
      </c>
      <c r="J44" s="57" t="s">
        <v>32</v>
      </c>
      <c r="K44" s="68">
        <v>46200</v>
      </c>
      <c r="L44" s="69"/>
    </row>
    <row r="45" spans="1:13" ht="15.75" customHeight="1" x14ac:dyDescent="0.15">
      <c r="C45" s="33"/>
      <c r="D45" s="33"/>
      <c r="E45" s="33"/>
      <c r="F45" s="33"/>
      <c r="G45" s="33"/>
      <c r="L45" s="8"/>
      <c r="M45" s="8"/>
    </row>
    <row r="46" spans="1:13" ht="15.75" customHeight="1" x14ac:dyDescent="0.15">
      <c r="C46" s="33"/>
      <c r="D46" s="33"/>
      <c r="E46" s="33"/>
      <c r="F46" s="33"/>
      <c r="G46" s="33"/>
      <c r="L46" s="8"/>
      <c r="M46" s="8"/>
    </row>
    <row r="47" spans="1:13" ht="15.75" customHeight="1" x14ac:dyDescent="0.15">
      <c r="C47" s="33"/>
      <c r="D47" s="33"/>
      <c r="E47" s="33"/>
      <c r="F47" s="33"/>
      <c r="G47" s="33"/>
      <c r="L47" s="8"/>
      <c r="M47" s="8"/>
    </row>
    <row r="48" spans="1:13" ht="15.75" customHeight="1" x14ac:dyDescent="0.15">
      <c r="C48" s="33"/>
      <c r="D48" s="33"/>
      <c r="E48" s="33"/>
      <c r="F48" s="33"/>
      <c r="G48" s="33"/>
      <c r="L48" s="8"/>
      <c r="M48" s="8"/>
    </row>
    <row r="49" spans="3:13" ht="15.75" customHeight="1" x14ac:dyDescent="0.15">
      <c r="C49" s="33"/>
      <c r="D49" s="33"/>
      <c r="E49" s="33"/>
      <c r="F49" s="33"/>
      <c r="G49" s="33"/>
      <c r="L49" s="8"/>
      <c r="M49" s="8"/>
    </row>
    <row r="50" spans="3:13" ht="15.75" customHeight="1" x14ac:dyDescent="0.15">
      <c r="C50" s="33"/>
      <c r="D50" s="33"/>
      <c r="E50" s="33"/>
      <c r="F50" s="33"/>
      <c r="G50" s="33"/>
      <c r="L50" s="8"/>
      <c r="M50" s="8"/>
    </row>
    <row r="51" spans="3:13" ht="15.75" customHeight="1" x14ac:dyDescent="0.15">
      <c r="C51" s="33"/>
      <c r="D51" s="33"/>
      <c r="E51" s="33"/>
      <c r="F51" s="33"/>
      <c r="G51" s="33"/>
      <c r="L51" s="8"/>
      <c r="M51" s="8"/>
    </row>
    <row r="52" spans="3:13" ht="15.75" customHeight="1" x14ac:dyDescent="0.15">
      <c r="C52" s="33"/>
      <c r="D52" s="33"/>
      <c r="E52" s="33"/>
      <c r="F52" s="33"/>
      <c r="G52" s="33"/>
      <c r="L52" s="8"/>
      <c r="M52" s="8"/>
    </row>
    <row r="53" spans="3:13" ht="15.75" customHeight="1" x14ac:dyDescent="0.15">
      <c r="C53" s="33"/>
      <c r="D53" s="33"/>
      <c r="E53" s="33"/>
      <c r="F53" s="33"/>
      <c r="G53" s="33"/>
      <c r="L53" s="8"/>
      <c r="M53" s="8"/>
    </row>
    <row r="54" spans="3:13" ht="15.75" customHeight="1" x14ac:dyDescent="0.15">
      <c r="C54" s="33"/>
      <c r="D54" s="33"/>
      <c r="E54" s="33"/>
      <c r="F54" s="33"/>
      <c r="G54" s="33"/>
      <c r="L54" s="8"/>
      <c r="M54" s="8"/>
    </row>
    <row r="55" spans="3:13" ht="15.75" customHeight="1" x14ac:dyDescent="0.15">
      <c r="C55" s="33"/>
      <c r="D55" s="33"/>
      <c r="E55" s="33"/>
      <c r="F55" s="33"/>
      <c r="G55" s="33"/>
      <c r="L55" s="8"/>
      <c r="M55" s="8"/>
    </row>
    <row r="56" spans="3:13" ht="15.75" customHeight="1" x14ac:dyDescent="0.15">
      <c r="C56" s="33"/>
      <c r="D56" s="33"/>
      <c r="E56" s="33"/>
      <c r="F56" s="33"/>
      <c r="G56" s="33"/>
      <c r="L56" s="8"/>
      <c r="M56" s="8"/>
    </row>
    <row r="57" spans="3:13" ht="15.75" customHeight="1" x14ac:dyDescent="0.15">
      <c r="C57" s="33"/>
      <c r="D57" s="33"/>
      <c r="E57" s="33"/>
      <c r="F57" s="33"/>
      <c r="G57" s="33"/>
      <c r="L57" s="8"/>
      <c r="M57" s="8"/>
    </row>
    <row r="58" spans="3:13" ht="15.75" customHeight="1" x14ac:dyDescent="0.15">
      <c r="C58" s="33"/>
      <c r="D58" s="33"/>
      <c r="E58" s="33"/>
      <c r="F58" s="33"/>
      <c r="G58" s="33"/>
      <c r="L58" s="8"/>
      <c r="M58" s="8"/>
    </row>
    <row r="59" spans="3:13" ht="15.75" customHeight="1" x14ac:dyDescent="0.15">
      <c r="C59" s="33"/>
      <c r="D59" s="33"/>
      <c r="E59" s="33"/>
      <c r="F59" s="33"/>
      <c r="G59" s="33"/>
      <c r="L59" s="8"/>
      <c r="M59" s="8"/>
    </row>
    <row r="60" spans="3:13" ht="15.75" customHeight="1" x14ac:dyDescent="0.15">
      <c r="C60" s="33"/>
      <c r="D60" s="33"/>
      <c r="E60" s="33"/>
      <c r="F60" s="33"/>
      <c r="G60" s="33"/>
      <c r="L60" s="8"/>
      <c r="M60" s="8"/>
    </row>
    <row r="61" spans="3:13" ht="15.75" customHeight="1" x14ac:dyDescent="0.15">
      <c r="C61" s="33"/>
      <c r="D61" s="33"/>
      <c r="E61" s="33"/>
      <c r="F61" s="33"/>
      <c r="G61" s="33"/>
      <c r="L61" s="8"/>
      <c r="M61" s="8"/>
    </row>
    <row r="62" spans="3:13" ht="15.75" customHeight="1" x14ac:dyDescent="0.15">
      <c r="C62" s="33"/>
      <c r="D62" s="33"/>
      <c r="E62" s="33"/>
      <c r="F62" s="33"/>
      <c r="G62" s="33"/>
      <c r="L62" s="8"/>
      <c r="M62" s="8"/>
    </row>
    <row r="63" spans="3:13" ht="15.75" customHeight="1" x14ac:dyDescent="0.15">
      <c r="C63" s="33"/>
      <c r="D63" s="33"/>
      <c r="E63" s="33"/>
      <c r="F63" s="33"/>
      <c r="G63" s="33"/>
      <c r="L63" s="8"/>
      <c r="M63" s="8"/>
    </row>
    <row r="64" spans="3:13" ht="15.75" customHeight="1" x14ac:dyDescent="0.15">
      <c r="C64" s="33"/>
      <c r="D64" s="33"/>
      <c r="E64" s="33"/>
      <c r="F64" s="33"/>
      <c r="G64" s="33"/>
      <c r="L64" s="8"/>
      <c r="M64" s="8"/>
    </row>
    <row r="65" spans="3:13" ht="15.75" customHeight="1" x14ac:dyDescent="0.15">
      <c r="C65" s="33"/>
      <c r="D65" s="33"/>
      <c r="E65" s="33"/>
      <c r="F65" s="33"/>
      <c r="G65" s="33"/>
      <c r="L65" s="8"/>
      <c r="M65" s="8"/>
    </row>
    <row r="66" spans="3:13" ht="15.75" customHeight="1" x14ac:dyDescent="0.15">
      <c r="C66" s="33"/>
      <c r="D66" s="33"/>
      <c r="E66" s="33"/>
      <c r="F66" s="33"/>
      <c r="G66" s="33"/>
      <c r="L66" s="8"/>
      <c r="M66" s="8"/>
    </row>
    <row r="67" spans="3:13" ht="15.75" customHeight="1" x14ac:dyDescent="0.15">
      <c r="C67" s="33"/>
      <c r="D67" s="33"/>
      <c r="E67" s="33"/>
      <c r="F67" s="33"/>
      <c r="G67" s="33"/>
      <c r="L67" s="8"/>
      <c r="M67" s="8"/>
    </row>
    <row r="68" spans="3:13" ht="15.75" customHeight="1" x14ac:dyDescent="0.15">
      <c r="C68" s="33"/>
      <c r="D68" s="33"/>
      <c r="E68" s="33"/>
      <c r="F68" s="33"/>
      <c r="G68" s="33"/>
      <c r="L68" s="8"/>
      <c r="M68" s="8"/>
    </row>
    <row r="69" spans="3:13" ht="15.75" customHeight="1" x14ac:dyDescent="0.15">
      <c r="C69" s="33"/>
      <c r="D69" s="33"/>
      <c r="E69" s="33"/>
      <c r="F69" s="33"/>
      <c r="G69" s="33"/>
      <c r="L69" s="8"/>
      <c r="M69" s="8"/>
    </row>
    <row r="70" spans="3:13" ht="15.75" customHeight="1" x14ac:dyDescent="0.15">
      <c r="C70" s="33"/>
      <c r="D70" s="33"/>
      <c r="E70" s="33"/>
      <c r="F70" s="33"/>
      <c r="G70" s="33"/>
      <c r="L70" s="8"/>
      <c r="M70" s="8"/>
    </row>
    <row r="71" spans="3:13" ht="15.75" customHeight="1" x14ac:dyDescent="0.15">
      <c r="C71" s="33"/>
      <c r="D71" s="33"/>
      <c r="E71" s="33"/>
      <c r="F71" s="33"/>
      <c r="G71" s="33"/>
      <c r="L71" s="8"/>
      <c r="M71" s="8"/>
    </row>
    <row r="72" spans="3:13" ht="15.75" customHeight="1" x14ac:dyDescent="0.15">
      <c r="C72" s="33"/>
      <c r="D72" s="33"/>
      <c r="E72" s="33"/>
      <c r="F72" s="33"/>
      <c r="G72" s="33"/>
      <c r="L72" s="8"/>
      <c r="M72" s="8"/>
    </row>
    <row r="73" spans="3:13" ht="15.75" customHeight="1" x14ac:dyDescent="0.15">
      <c r="C73" s="33"/>
      <c r="D73" s="33"/>
      <c r="E73" s="33"/>
      <c r="F73" s="33"/>
      <c r="G73" s="33"/>
      <c r="L73" s="8"/>
      <c r="M73" s="8"/>
    </row>
    <row r="74" spans="3:13" ht="15.75" customHeight="1" x14ac:dyDescent="0.15">
      <c r="C74" s="33"/>
      <c r="D74" s="33"/>
      <c r="E74" s="33"/>
      <c r="F74" s="33"/>
      <c r="G74" s="33"/>
      <c r="L74" s="8"/>
      <c r="M74" s="8"/>
    </row>
    <row r="75" spans="3:13" ht="15.75" customHeight="1" x14ac:dyDescent="0.15">
      <c r="C75" s="33"/>
      <c r="D75" s="33"/>
      <c r="E75" s="33"/>
      <c r="F75" s="33"/>
      <c r="G75" s="33"/>
      <c r="L75" s="8"/>
      <c r="M75" s="8"/>
    </row>
    <row r="76" spans="3:13" ht="15.75" customHeight="1" x14ac:dyDescent="0.15">
      <c r="C76" s="33"/>
      <c r="D76" s="33"/>
      <c r="E76" s="33"/>
      <c r="F76" s="33"/>
      <c r="G76" s="33"/>
      <c r="L76" s="8"/>
      <c r="M76" s="8"/>
    </row>
    <row r="77" spans="3:13" ht="15.75" customHeight="1" x14ac:dyDescent="0.15">
      <c r="C77" s="33"/>
      <c r="D77" s="33"/>
      <c r="E77" s="33"/>
      <c r="F77" s="33"/>
      <c r="G77" s="33"/>
      <c r="L77" s="8"/>
      <c r="M77" s="8"/>
    </row>
    <row r="78" spans="3:13" ht="15.75" customHeight="1" x14ac:dyDescent="0.15">
      <c r="C78" s="33"/>
      <c r="D78" s="33"/>
      <c r="E78" s="33"/>
      <c r="F78" s="33"/>
      <c r="G78" s="33"/>
      <c r="L78" s="8"/>
      <c r="M78" s="8"/>
    </row>
    <row r="79" spans="3:13" ht="15.75" customHeight="1" x14ac:dyDescent="0.15">
      <c r="C79" s="33"/>
      <c r="D79" s="33"/>
      <c r="E79" s="33"/>
      <c r="F79" s="33"/>
      <c r="G79" s="33"/>
      <c r="L79" s="8"/>
      <c r="M79" s="8"/>
    </row>
    <row r="80" spans="3:13" ht="15.75" customHeight="1" x14ac:dyDescent="0.15">
      <c r="C80" s="33"/>
      <c r="D80" s="33"/>
      <c r="E80" s="33"/>
      <c r="F80" s="33"/>
      <c r="G80" s="33"/>
      <c r="L80" s="8"/>
      <c r="M80" s="8"/>
    </row>
    <row r="81" spans="3:13" ht="15.75" customHeight="1" x14ac:dyDescent="0.15">
      <c r="C81" s="33"/>
      <c r="D81" s="33"/>
      <c r="E81" s="33"/>
      <c r="F81" s="33"/>
      <c r="G81" s="33"/>
      <c r="L81" s="8"/>
      <c r="M81" s="8"/>
    </row>
    <row r="82" spans="3:13" ht="15.75" customHeight="1" x14ac:dyDescent="0.15">
      <c r="C82" s="33"/>
      <c r="D82" s="33"/>
      <c r="E82" s="33"/>
      <c r="F82" s="33"/>
      <c r="G82" s="33"/>
      <c r="L82" s="8"/>
      <c r="M82" s="8"/>
    </row>
    <row r="83" spans="3:13" ht="15.75" customHeight="1" x14ac:dyDescent="0.15">
      <c r="C83" s="33"/>
      <c r="D83" s="33"/>
      <c r="E83" s="33"/>
      <c r="F83" s="33"/>
      <c r="G83" s="33"/>
      <c r="L83" s="8"/>
      <c r="M83" s="8"/>
    </row>
    <row r="84" spans="3:13" ht="15.75" customHeight="1" x14ac:dyDescent="0.15">
      <c r="C84" s="33"/>
      <c r="D84" s="33"/>
      <c r="E84" s="33"/>
      <c r="F84" s="33"/>
      <c r="G84" s="33"/>
      <c r="L84" s="8"/>
      <c r="M84" s="8"/>
    </row>
    <row r="85" spans="3:13" ht="15.75" customHeight="1" x14ac:dyDescent="0.15">
      <c r="C85" s="33"/>
      <c r="D85" s="33"/>
      <c r="E85" s="33"/>
      <c r="F85" s="33"/>
      <c r="G85" s="33"/>
      <c r="L85" s="8"/>
      <c r="M85" s="8"/>
    </row>
    <row r="86" spans="3:13" ht="15.75" customHeight="1" x14ac:dyDescent="0.15">
      <c r="C86" s="33"/>
      <c r="D86" s="33"/>
      <c r="E86" s="33"/>
      <c r="F86" s="33"/>
      <c r="G86" s="33"/>
      <c r="L86" s="8"/>
      <c r="M86" s="8"/>
    </row>
    <row r="87" spans="3:13" ht="15.75" customHeight="1" x14ac:dyDescent="0.15">
      <c r="C87" s="33"/>
      <c r="D87" s="33"/>
      <c r="E87" s="33"/>
      <c r="F87" s="33"/>
      <c r="G87" s="33"/>
      <c r="L87" s="8"/>
      <c r="M87" s="8"/>
    </row>
    <row r="88" spans="3:13" ht="15.75" customHeight="1" x14ac:dyDescent="0.15">
      <c r="C88" s="33"/>
      <c r="D88" s="33"/>
      <c r="E88" s="33"/>
      <c r="F88" s="33"/>
      <c r="G88" s="33"/>
      <c r="L88" s="8"/>
      <c r="M88" s="8"/>
    </row>
    <row r="89" spans="3:13" ht="15.75" customHeight="1" x14ac:dyDescent="0.15">
      <c r="C89" s="33"/>
      <c r="D89" s="33"/>
      <c r="E89" s="33"/>
      <c r="F89" s="33"/>
      <c r="G89" s="33"/>
      <c r="L89" s="8"/>
      <c r="M89" s="8"/>
    </row>
    <row r="90" spans="3:13" ht="15.75" customHeight="1" x14ac:dyDescent="0.15">
      <c r="C90" s="33"/>
      <c r="D90" s="33"/>
      <c r="E90" s="33"/>
      <c r="F90" s="33"/>
      <c r="G90" s="33"/>
      <c r="L90" s="8"/>
      <c r="M90" s="8"/>
    </row>
    <row r="91" spans="3:13" ht="15.75" customHeight="1" x14ac:dyDescent="0.15">
      <c r="C91" s="33"/>
      <c r="D91" s="33"/>
      <c r="E91" s="33"/>
      <c r="F91" s="33"/>
      <c r="G91" s="33"/>
      <c r="L91" s="8"/>
      <c r="M91" s="8"/>
    </row>
    <row r="92" spans="3:13" ht="15.75" customHeight="1" x14ac:dyDescent="0.15">
      <c r="C92" s="33"/>
      <c r="D92" s="33"/>
      <c r="E92" s="33"/>
      <c r="F92" s="33"/>
      <c r="G92" s="33"/>
      <c r="L92" s="8"/>
      <c r="M92" s="8"/>
    </row>
    <row r="93" spans="3:13" ht="15.75" customHeight="1" x14ac:dyDescent="0.15">
      <c r="C93" s="33"/>
      <c r="D93" s="33"/>
      <c r="E93" s="33"/>
      <c r="F93" s="33"/>
      <c r="G93" s="33"/>
      <c r="L93" s="8"/>
      <c r="M93" s="8"/>
    </row>
    <row r="94" spans="3:13" ht="15.75" customHeight="1" x14ac:dyDescent="0.15">
      <c r="C94" s="33"/>
      <c r="D94" s="33"/>
      <c r="E94" s="33"/>
      <c r="F94" s="33"/>
      <c r="G94" s="33"/>
      <c r="L94" s="8"/>
      <c r="M94" s="8"/>
    </row>
    <row r="95" spans="3:13" ht="15.75" customHeight="1" x14ac:dyDescent="0.15">
      <c r="C95" s="33"/>
      <c r="D95" s="33"/>
      <c r="E95" s="33"/>
      <c r="F95" s="33"/>
      <c r="G95" s="33"/>
      <c r="L95" s="8"/>
      <c r="M95" s="8"/>
    </row>
    <row r="96" spans="3:13" ht="15.75" customHeight="1" x14ac:dyDescent="0.15">
      <c r="C96" s="33"/>
      <c r="D96" s="33"/>
      <c r="E96" s="33"/>
      <c r="F96" s="33"/>
      <c r="G96" s="33"/>
      <c r="L96" s="8"/>
      <c r="M96" s="8"/>
    </row>
    <row r="97" spans="3:13" ht="15.75" customHeight="1" x14ac:dyDescent="0.15">
      <c r="C97" s="33"/>
      <c r="D97" s="33"/>
      <c r="E97" s="33"/>
      <c r="F97" s="33"/>
      <c r="G97" s="33"/>
      <c r="L97" s="8"/>
      <c r="M97" s="8"/>
    </row>
    <row r="98" spans="3:13" ht="15.75" customHeight="1" x14ac:dyDescent="0.15">
      <c r="C98" s="33"/>
      <c r="D98" s="33"/>
      <c r="E98" s="33"/>
      <c r="F98" s="33"/>
      <c r="G98" s="33"/>
      <c r="L98" s="8"/>
      <c r="M98" s="8"/>
    </row>
    <row r="99" spans="3:13" ht="15.75" customHeight="1" x14ac:dyDescent="0.15">
      <c r="C99" s="33"/>
      <c r="D99" s="33"/>
      <c r="E99" s="33"/>
      <c r="F99" s="33"/>
      <c r="G99" s="33"/>
      <c r="L99" s="8"/>
      <c r="M99" s="8"/>
    </row>
    <row r="100" spans="3:13" ht="15.75" customHeight="1" x14ac:dyDescent="0.15">
      <c r="C100" s="33"/>
      <c r="D100" s="33"/>
      <c r="E100" s="33"/>
      <c r="F100" s="33"/>
      <c r="G100" s="33"/>
      <c r="L100" s="8"/>
      <c r="M100" s="8"/>
    </row>
    <row r="101" spans="3:13" ht="15.75" customHeight="1" x14ac:dyDescent="0.15">
      <c r="C101" s="33"/>
      <c r="D101" s="33"/>
      <c r="E101" s="33"/>
      <c r="F101" s="33"/>
      <c r="G101" s="33"/>
      <c r="L101" s="8"/>
      <c r="M101" s="8"/>
    </row>
    <row r="102" spans="3:13" ht="15.75" customHeight="1" x14ac:dyDescent="0.15">
      <c r="C102" s="33"/>
      <c r="D102" s="33"/>
      <c r="E102" s="33"/>
      <c r="F102" s="33"/>
      <c r="G102" s="33"/>
      <c r="L102" s="8"/>
      <c r="M102" s="8"/>
    </row>
    <row r="103" spans="3:13" ht="15.75" customHeight="1" x14ac:dyDescent="0.15">
      <c r="C103" s="33"/>
      <c r="D103" s="33"/>
      <c r="E103" s="33"/>
      <c r="F103" s="33"/>
      <c r="G103" s="33"/>
      <c r="L103" s="8"/>
      <c r="M103" s="8"/>
    </row>
    <row r="104" spans="3:13" ht="15.75" customHeight="1" x14ac:dyDescent="0.15">
      <c r="C104" s="33"/>
      <c r="D104" s="33"/>
      <c r="E104" s="33"/>
      <c r="F104" s="33"/>
      <c r="G104" s="33"/>
      <c r="L104" s="8"/>
      <c r="M104" s="8"/>
    </row>
    <row r="105" spans="3:13" ht="15.75" customHeight="1" x14ac:dyDescent="0.15">
      <c r="C105" s="33"/>
      <c r="D105" s="33"/>
      <c r="E105" s="33"/>
      <c r="F105" s="33"/>
      <c r="G105" s="33"/>
      <c r="L105" s="8"/>
      <c r="M105" s="8"/>
    </row>
    <row r="106" spans="3:13" ht="15.75" customHeight="1" x14ac:dyDescent="0.15">
      <c r="C106" s="33"/>
      <c r="D106" s="33"/>
      <c r="E106" s="33"/>
      <c r="F106" s="33"/>
      <c r="G106" s="33"/>
      <c r="L106" s="8"/>
      <c r="M106" s="8"/>
    </row>
    <row r="107" spans="3:13" ht="15.75" customHeight="1" x14ac:dyDescent="0.15">
      <c r="C107" s="33"/>
      <c r="D107" s="33"/>
      <c r="E107" s="33"/>
      <c r="F107" s="33"/>
      <c r="G107" s="33"/>
      <c r="L107" s="8"/>
      <c r="M107" s="8"/>
    </row>
    <row r="108" spans="3:13" ht="15.75" customHeight="1" x14ac:dyDescent="0.15">
      <c r="C108" s="33"/>
      <c r="D108" s="33"/>
      <c r="E108" s="33"/>
      <c r="F108" s="33"/>
      <c r="G108" s="33"/>
      <c r="L108" s="8"/>
      <c r="M108" s="8"/>
    </row>
    <row r="109" spans="3:13" ht="15.75" customHeight="1" x14ac:dyDescent="0.15">
      <c r="C109" s="33"/>
      <c r="D109" s="33"/>
      <c r="E109" s="33"/>
      <c r="F109" s="33"/>
      <c r="G109" s="33"/>
      <c r="L109" s="8"/>
      <c r="M109" s="8"/>
    </row>
    <row r="110" spans="3:13" ht="15.75" customHeight="1" x14ac:dyDescent="0.15">
      <c r="C110" s="33"/>
      <c r="D110" s="33"/>
      <c r="E110" s="33"/>
      <c r="F110" s="33"/>
      <c r="G110" s="33"/>
      <c r="L110" s="8"/>
      <c r="M110" s="8"/>
    </row>
    <row r="111" spans="3:13" ht="15.75" customHeight="1" x14ac:dyDescent="0.15">
      <c r="C111" s="33"/>
      <c r="D111" s="33"/>
      <c r="E111" s="33"/>
      <c r="F111" s="33"/>
      <c r="G111" s="33"/>
      <c r="L111" s="8"/>
      <c r="M111" s="8"/>
    </row>
    <row r="112" spans="3:13" ht="15.75" customHeight="1" x14ac:dyDescent="0.15">
      <c r="C112" s="33"/>
      <c r="D112" s="33"/>
      <c r="E112" s="33"/>
      <c r="F112" s="33"/>
      <c r="G112" s="33"/>
      <c r="L112" s="8"/>
      <c r="M112" s="8"/>
    </row>
    <row r="113" spans="3:13" ht="15.75" customHeight="1" x14ac:dyDescent="0.15">
      <c r="C113" s="33"/>
      <c r="D113" s="33"/>
      <c r="E113" s="33"/>
      <c r="F113" s="33"/>
      <c r="G113" s="33"/>
      <c r="L113" s="8"/>
      <c r="M113" s="8"/>
    </row>
    <row r="114" spans="3:13" ht="15.75" customHeight="1" x14ac:dyDescent="0.15">
      <c r="C114" s="33"/>
      <c r="D114" s="33"/>
      <c r="E114" s="33"/>
      <c r="F114" s="33"/>
      <c r="G114" s="33"/>
      <c r="L114" s="8"/>
      <c r="M114" s="8"/>
    </row>
    <row r="115" spans="3:13" ht="15.75" customHeight="1" x14ac:dyDescent="0.15">
      <c r="C115" s="33"/>
      <c r="D115" s="33"/>
      <c r="E115" s="33"/>
      <c r="F115" s="33"/>
      <c r="G115" s="33"/>
      <c r="L115" s="8"/>
      <c r="M115" s="8"/>
    </row>
    <row r="116" spans="3:13" ht="15.75" customHeight="1" x14ac:dyDescent="0.15">
      <c r="C116" s="33"/>
      <c r="D116" s="33"/>
      <c r="E116" s="33"/>
      <c r="F116" s="33"/>
      <c r="G116" s="33"/>
      <c r="L116" s="8"/>
      <c r="M116" s="8"/>
    </row>
    <row r="117" spans="3:13" ht="15.75" customHeight="1" x14ac:dyDescent="0.15">
      <c r="C117" s="33"/>
      <c r="D117" s="33"/>
      <c r="E117" s="33"/>
      <c r="F117" s="33"/>
      <c r="G117" s="33"/>
      <c r="L117" s="8"/>
      <c r="M117" s="8"/>
    </row>
    <row r="118" spans="3:13" ht="15.75" customHeight="1" x14ac:dyDescent="0.15">
      <c r="C118" s="33"/>
      <c r="D118" s="33"/>
      <c r="E118" s="33"/>
      <c r="F118" s="33"/>
      <c r="G118" s="33"/>
      <c r="L118" s="8"/>
      <c r="M118" s="8"/>
    </row>
    <row r="119" spans="3:13" ht="15.75" customHeight="1" x14ac:dyDescent="0.15">
      <c r="C119" s="33"/>
      <c r="D119" s="33"/>
      <c r="E119" s="33"/>
      <c r="F119" s="33"/>
      <c r="G119" s="33"/>
      <c r="L119" s="8"/>
      <c r="M119" s="8"/>
    </row>
    <row r="120" spans="3:13" ht="15.75" customHeight="1" x14ac:dyDescent="0.15">
      <c r="C120" s="33"/>
      <c r="D120" s="33"/>
      <c r="E120" s="33"/>
      <c r="F120" s="33"/>
      <c r="G120" s="33"/>
      <c r="L120" s="8"/>
      <c r="M120" s="8"/>
    </row>
    <row r="121" spans="3:13" ht="15.75" customHeight="1" x14ac:dyDescent="0.15">
      <c r="C121" s="33"/>
      <c r="D121" s="33"/>
      <c r="E121" s="33"/>
      <c r="F121" s="33"/>
      <c r="G121" s="33"/>
      <c r="L121" s="8"/>
      <c r="M121" s="8"/>
    </row>
    <row r="122" spans="3:13" ht="15.75" customHeight="1" x14ac:dyDescent="0.15">
      <c r="C122" s="33"/>
      <c r="D122" s="33"/>
      <c r="E122" s="33"/>
      <c r="F122" s="33"/>
      <c r="G122" s="33"/>
      <c r="L122" s="8"/>
      <c r="M122" s="8"/>
    </row>
    <row r="123" spans="3:13" ht="15.75" customHeight="1" x14ac:dyDescent="0.15">
      <c r="C123" s="33"/>
      <c r="D123" s="33"/>
      <c r="E123" s="33"/>
      <c r="F123" s="33"/>
      <c r="G123" s="33"/>
      <c r="L123" s="8"/>
      <c r="M123" s="8"/>
    </row>
    <row r="124" spans="3:13" ht="15.75" customHeight="1" x14ac:dyDescent="0.15">
      <c r="C124" s="33"/>
      <c r="D124" s="33"/>
      <c r="E124" s="33"/>
      <c r="F124" s="33"/>
      <c r="G124" s="33"/>
      <c r="L124" s="8"/>
      <c r="M124" s="8"/>
    </row>
    <row r="125" spans="3:13" ht="15.75" customHeight="1" x14ac:dyDescent="0.15">
      <c r="C125" s="33"/>
      <c r="D125" s="33"/>
      <c r="E125" s="33"/>
      <c r="F125" s="33"/>
      <c r="G125" s="33"/>
      <c r="L125" s="8"/>
      <c r="M125" s="8"/>
    </row>
    <row r="126" spans="3:13" ht="15.75" customHeight="1" x14ac:dyDescent="0.15">
      <c r="C126" s="33"/>
      <c r="D126" s="33"/>
      <c r="E126" s="33"/>
      <c r="F126" s="33"/>
      <c r="G126" s="33"/>
      <c r="L126" s="8"/>
      <c r="M126" s="8"/>
    </row>
    <row r="127" spans="3:13" ht="15.75" customHeight="1" x14ac:dyDescent="0.15">
      <c r="C127" s="33"/>
      <c r="D127" s="33"/>
      <c r="E127" s="33"/>
      <c r="F127" s="33"/>
      <c r="G127" s="33"/>
      <c r="L127" s="8"/>
      <c r="M127" s="8"/>
    </row>
    <row r="128" spans="3:13" ht="15.75" customHeight="1" x14ac:dyDescent="0.15">
      <c r="C128" s="33"/>
      <c r="D128" s="33"/>
      <c r="E128" s="33"/>
      <c r="F128" s="33"/>
      <c r="G128" s="33"/>
      <c r="L128" s="8"/>
      <c r="M128" s="8"/>
    </row>
    <row r="129" spans="3:13" ht="15.75" customHeight="1" x14ac:dyDescent="0.15">
      <c r="C129" s="33"/>
      <c r="D129" s="33"/>
      <c r="E129" s="33"/>
      <c r="F129" s="33"/>
      <c r="G129" s="33"/>
      <c r="L129" s="8"/>
      <c r="M129" s="8"/>
    </row>
    <row r="130" spans="3:13" ht="15.75" customHeight="1" x14ac:dyDescent="0.15">
      <c r="C130" s="33"/>
      <c r="D130" s="33"/>
      <c r="E130" s="33"/>
      <c r="F130" s="33"/>
      <c r="G130" s="33"/>
      <c r="L130" s="8"/>
      <c r="M130" s="8"/>
    </row>
    <row r="131" spans="3:13" ht="15.75" customHeight="1" x14ac:dyDescent="0.15">
      <c r="C131" s="33"/>
      <c r="D131" s="33"/>
      <c r="E131" s="33"/>
      <c r="F131" s="33"/>
      <c r="G131" s="33"/>
      <c r="L131" s="8"/>
      <c r="M131" s="8"/>
    </row>
    <row r="132" spans="3:13" ht="15.75" customHeight="1" x14ac:dyDescent="0.15">
      <c r="C132" s="33"/>
      <c r="D132" s="33"/>
      <c r="E132" s="33"/>
      <c r="F132" s="33"/>
      <c r="G132" s="33"/>
      <c r="L132" s="8"/>
      <c r="M132" s="8"/>
    </row>
    <row r="133" spans="3:13" ht="15.75" customHeight="1" x14ac:dyDescent="0.15">
      <c r="C133" s="33"/>
      <c r="D133" s="33"/>
      <c r="E133" s="33"/>
      <c r="F133" s="33"/>
      <c r="G133" s="33"/>
      <c r="L133" s="8"/>
      <c r="M133" s="8"/>
    </row>
    <row r="134" spans="3:13" ht="15.75" customHeight="1" x14ac:dyDescent="0.15">
      <c r="C134" s="33"/>
      <c r="D134" s="33"/>
      <c r="E134" s="33"/>
      <c r="F134" s="33"/>
      <c r="G134" s="33"/>
      <c r="L134" s="8"/>
      <c r="M134" s="8"/>
    </row>
    <row r="135" spans="3:13" ht="15.75" customHeight="1" x14ac:dyDescent="0.15">
      <c r="C135" s="33"/>
      <c r="D135" s="33"/>
      <c r="E135" s="33"/>
      <c r="F135" s="33"/>
      <c r="G135" s="33"/>
      <c r="L135" s="8"/>
      <c r="M135" s="8"/>
    </row>
    <row r="136" spans="3:13" ht="15.75" customHeight="1" x14ac:dyDescent="0.15">
      <c r="C136" s="33"/>
      <c r="D136" s="33"/>
      <c r="E136" s="33"/>
      <c r="F136" s="33"/>
      <c r="G136" s="33"/>
      <c r="L136" s="8"/>
      <c r="M136" s="8"/>
    </row>
    <row r="137" spans="3:13" ht="15.75" customHeight="1" x14ac:dyDescent="0.15">
      <c r="C137" s="33"/>
      <c r="D137" s="33"/>
      <c r="E137" s="33"/>
      <c r="F137" s="33"/>
      <c r="G137" s="33"/>
      <c r="L137" s="8"/>
      <c r="M137" s="8"/>
    </row>
    <row r="138" spans="3:13" ht="15.75" customHeight="1" x14ac:dyDescent="0.15">
      <c r="C138" s="33"/>
      <c r="D138" s="33"/>
      <c r="E138" s="33"/>
      <c r="F138" s="33"/>
      <c r="G138" s="33"/>
      <c r="L138" s="8"/>
      <c r="M138" s="8"/>
    </row>
    <row r="139" spans="3:13" ht="15.75" customHeight="1" x14ac:dyDescent="0.15">
      <c r="C139" s="33"/>
      <c r="D139" s="33"/>
      <c r="E139" s="33"/>
      <c r="F139" s="33"/>
      <c r="G139" s="33"/>
      <c r="L139" s="8"/>
      <c r="M139" s="8"/>
    </row>
    <row r="140" spans="3:13" ht="15.75" customHeight="1" x14ac:dyDescent="0.15">
      <c r="C140" s="33"/>
      <c r="D140" s="33"/>
      <c r="E140" s="33"/>
      <c r="F140" s="33"/>
      <c r="G140" s="33"/>
      <c r="L140" s="8"/>
      <c r="M140" s="8"/>
    </row>
    <row r="141" spans="3:13" ht="15.75" customHeight="1" x14ac:dyDescent="0.15">
      <c r="C141" s="33"/>
      <c r="D141" s="33"/>
      <c r="E141" s="33"/>
      <c r="F141" s="33"/>
      <c r="G141" s="33"/>
      <c r="L141" s="8"/>
      <c r="M141" s="8"/>
    </row>
    <row r="142" spans="3:13" ht="15.75" customHeight="1" x14ac:dyDescent="0.15">
      <c r="C142" s="33"/>
      <c r="D142" s="33"/>
      <c r="E142" s="33"/>
      <c r="F142" s="33"/>
      <c r="G142" s="33"/>
      <c r="L142" s="8"/>
      <c r="M142" s="8"/>
    </row>
    <row r="143" spans="3:13" ht="15.75" customHeight="1" x14ac:dyDescent="0.15">
      <c r="C143" s="33"/>
      <c r="D143" s="33"/>
      <c r="E143" s="33"/>
      <c r="F143" s="33"/>
      <c r="G143" s="33"/>
      <c r="L143" s="8"/>
      <c r="M143" s="8"/>
    </row>
    <row r="144" spans="3:13" ht="15.75" customHeight="1" x14ac:dyDescent="0.15">
      <c r="C144" s="33"/>
      <c r="D144" s="33"/>
      <c r="E144" s="33"/>
      <c r="F144" s="33"/>
      <c r="G144" s="33"/>
      <c r="L144" s="8"/>
      <c r="M144" s="8"/>
    </row>
    <row r="145" spans="3:13" ht="15.75" customHeight="1" x14ac:dyDescent="0.15">
      <c r="C145" s="33"/>
      <c r="D145" s="33"/>
      <c r="E145" s="33"/>
      <c r="F145" s="33"/>
      <c r="G145" s="33"/>
      <c r="L145" s="8"/>
      <c r="M145" s="8"/>
    </row>
    <row r="146" spans="3:13" ht="15.75" customHeight="1" x14ac:dyDescent="0.15">
      <c r="C146" s="33"/>
      <c r="D146" s="33"/>
      <c r="E146" s="33"/>
      <c r="F146" s="33"/>
      <c r="G146" s="33"/>
      <c r="L146" s="8"/>
      <c r="M146" s="8"/>
    </row>
    <row r="147" spans="3:13" ht="15.75" customHeight="1" x14ac:dyDescent="0.15">
      <c r="C147" s="33"/>
      <c r="D147" s="33"/>
      <c r="E147" s="33"/>
      <c r="F147" s="33"/>
      <c r="G147" s="33"/>
      <c r="L147" s="8"/>
      <c r="M147" s="8"/>
    </row>
    <row r="148" spans="3:13" ht="15.75" customHeight="1" x14ac:dyDescent="0.15">
      <c r="C148" s="33"/>
      <c r="D148" s="33"/>
      <c r="E148" s="33"/>
      <c r="F148" s="33"/>
      <c r="G148" s="33"/>
      <c r="L148" s="8"/>
      <c r="M148" s="8"/>
    </row>
    <row r="149" spans="3:13" ht="15.75" customHeight="1" x14ac:dyDescent="0.15">
      <c r="C149" s="33"/>
      <c r="D149" s="33"/>
      <c r="E149" s="33"/>
      <c r="F149" s="33"/>
      <c r="G149" s="33"/>
      <c r="L149" s="8"/>
      <c r="M149" s="8"/>
    </row>
    <row r="150" spans="3:13" ht="15.75" customHeight="1" x14ac:dyDescent="0.15">
      <c r="C150" s="33"/>
      <c r="D150" s="33"/>
      <c r="E150" s="33"/>
      <c r="F150" s="33"/>
      <c r="G150" s="33"/>
      <c r="L150" s="8"/>
      <c r="M150" s="8"/>
    </row>
    <row r="151" spans="3:13" ht="15.75" customHeight="1" x14ac:dyDescent="0.15">
      <c r="C151" s="33"/>
      <c r="D151" s="33"/>
      <c r="E151" s="33"/>
      <c r="F151" s="33"/>
      <c r="G151" s="33"/>
      <c r="L151" s="8"/>
      <c r="M151" s="8"/>
    </row>
    <row r="152" spans="3:13" ht="15.75" customHeight="1" x14ac:dyDescent="0.15">
      <c r="C152" s="33"/>
      <c r="D152" s="33"/>
      <c r="E152" s="33"/>
      <c r="F152" s="33"/>
      <c r="G152" s="33"/>
      <c r="L152" s="8"/>
      <c r="M152" s="8"/>
    </row>
    <row r="153" spans="3:13" ht="15.75" customHeight="1" x14ac:dyDescent="0.15">
      <c r="C153" s="33"/>
      <c r="D153" s="33"/>
      <c r="E153" s="33"/>
      <c r="F153" s="33"/>
      <c r="G153" s="33"/>
      <c r="L153" s="8"/>
      <c r="M153" s="8"/>
    </row>
    <row r="154" spans="3:13" ht="15.75" customHeight="1" x14ac:dyDescent="0.15">
      <c r="C154" s="33"/>
      <c r="D154" s="33"/>
      <c r="E154" s="33"/>
      <c r="F154" s="33"/>
      <c r="G154" s="33"/>
      <c r="L154" s="8"/>
      <c r="M154" s="8"/>
    </row>
    <row r="155" spans="3:13" ht="15.75" customHeight="1" x14ac:dyDescent="0.15">
      <c r="C155" s="33"/>
      <c r="D155" s="33"/>
      <c r="E155" s="33"/>
      <c r="F155" s="33"/>
      <c r="G155" s="33"/>
      <c r="L155" s="8"/>
      <c r="M155" s="8"/>
    </row>
    <row r="156" spans="3:13" ht="15.75" customHeight="1" x14ac:dyDescent="0.15">
      <c r="C156" s="33"/>
      <c r="D156" s="33"/>
      <c r="E156" s="33"/>
      <c r="F156" s="33"/>
      <c r="G156" s="33"/>
      <c r="L156" s="8"/>
      <c r="M156" s="8"/>
    </row>
    <row r="157" spans="3:13" ht="15.75" customHeight="1" x14ac:dyDescent="0.15">
      <c r="C157" s="33"/>
      <c r="D157" s="33"/>
      <c r="E157" s="33"/>
      <c r="F157" s="33"/>
      <c r="G157" s="33"/>
      <c r="L157" s="8"/>
      <c r="M157" s="8"/>
    </row>
    <row r="158" spans="3:13" ht="15.75" customHeight="1" x14ac:dyDescent="0.15">
      <c r="C158" s="33"/>
      <c r="D158" s="33"/>
      <c r="E158" s="33"/>
      <c r="F158" s="33"/>
      <c r="G158" s="33"/>
      <c r="L158" s="8"/>
      <c r="M158" s="8"/>
    </row>
    <row r="159" spans="3:13" ht="15.75" customHeight="1" x14ac:dyDescent="0.15">
      <c r="C159" s="33"/>
      <c r="D159" s="33"/>
      <c r="E159" s="33"/>
      <c r="F159" s="33"/>
      <c r="G159" s="33"/>
      <c r="L159" s="8"/>
      <c r="M159" s="8"/>
    </row>
    <row r="160" spans="3:13" ht="15.75" customHeight="1" x14ac:dyDescent="0.15">
      <c r="C160" s="33"/>
      <c r="D160" s="33"/>
      <c r="E160" s="33"/>
      <c r="F160" s="33"/>
      <c r="G160" s="33"/>
      <c r="L160" s="8"/>
      <c r="M160" s="8"/>
    </row>
    <row r="161" spans="3:13" ht="15.75" customHeight="1" x14ac:dyDescent="0.15">
      <c r="C161" s="33"/>
      <c r="D161" s="33"/>
      <c r="E161" s="33"/>
      <c r="F161" s="33"/>
      <c r="G161" s="33"/>
      <c r="L161" s="8"/>
      <c r="M161" s="8"/>
    </row>
    <row r="162" spans="3:13" ht="15.75" customHeight="1" x14ac:dyDescent="0.15">
      <c r="C162" s="33"/>
      <c r="D162" s="33"/>
      <c r="E162" s="33"/>
      <c r="F162" s="33"/>
      <c r="G162" s="33"/>
      <c r="L162" s="8"/>
      <c r="M162" s="8"/>
    </row>
    <row r="163" spans="3:13" ht="15.75" customHeight="1" x14ac:dyDescent="0.15">
      <c r="C163" s="33"/>
      <c r="D163" s="33"/>
      <c r="E163" s="33"/>
      <c r="F163" s="33"/>
      <c r="G163" s="33"/>
      <c r="L163" s="8"/>
      <c r="M163" s="8"/>
    </row>
    <row r="164" spans="3:13" ht="15.75" customHeight="1" x14ac:dyDescent="0.15">
      <c r="C164" s="33"/>
      <c r="D164" s="33"/>
      <c r="E164" s="33"/>
      <c r="F164" s="33"/>
      <c r="G164" s="33"/>
      <c r="L164" s="8"/>
      <c r="M164" s="8"/>
    </row>
    <row r="165" spans="3:13" ht="15.75" customHeight="1" x14ac:dyDescent="0.15">
      <c r="C165" s="33"/>
      <c r="D165" s="33"/>
      <c r="E165" s="33"/>
      <c r="F165" s="33"/>
      <c r="G165" s="33"/>
      <c r="L165" s="8"/>
      <c r="M165" s="8"/>
    </row>
    <row r="166" spans="3:13" ht="15.75" customHeight="1" x14ac:dyDescent="0.15">
      <c r="C166" s="33"/>
      <c r="D166" s="33"/>
      <c r="E166" s="33"/>
      <c r="F166" s="33"/>
      <c r="G166" s="33"/>
      <c r="L166" s="8"/>
      <c r="M166" s="8"/>
    </row>
    <row r="167" spans="3:13" ht="15.75" customHeight="1" x14ac:dyDescent="0.15">
      <c r="C167" s="33"/>
      <c r="D167" s="33"/>
      <c r="E167" s="33"/>
      <c r="F167" s="33"/>
      <c r="G167" s="33"/>
      <c r="L167" s="8"/>
      <c r="M167" s="8"/>
    </row>
    <row r="168" spans="3:13" ht="15.75" customHeight="1" x14ac:dyDescent="0.15">
      <c r="C168" s="33"/>
      <c r="D168" s="33"/>
      <c r="E168" s="33"/>
      <c r="F168" s="33"/>
      <c r="G168" s="33"/>
      <c r="L168" s="8"/>
      <c r="M168" s="8"/>
    </row>
    <row r="169" spans="3:13" ht="15.75" customHeight="1" x14ac:dyDescent="0.15">
      <c r="C169" s="33"/>
      <c r="D169" s="33"/>
      <c r="E169" s="33"/>
      <c r="F169" s="33"/>
      <c r="G169" s="33"/>
      <c r="L169" s="8"/>
      <c r="M169" s="8"/>
    </row>
    <row r="170" spans="3:13" ht="15.75" customHeight="1" x14ac:dyDescent="0.15">
      <c r="C170" s="33"/>
      <c r="D170" s="33"/>
      <c r="E170" s="33"/>
      <c r="F170" s="33"/>
      <c r="G170" s="33"/>
      <c r="L170" s="8"/>
      <c r="M170" s="8"/>
    </row>
    <row r="171" spans="3:13" ht="15.75" customHeight="1" x14ac:dyDescent="0.15">
      <c r="C171" s="33"/>
      <c r="D171" s="33"/>
      <c r="E171" s="33"/>
      <c r="F171" s="33"/>
      <c r="G171" s="33"/>
      <c r="L171" s="8"/>
      <c r="M171" s="8"/>
    </row>
    <row r="172" spans="3:13" ht="15.75" customHeight="1" x14ac:dyDescent="0.15">
      <c r="C172" s="33"/>
      <c r="D172" s="33"/>
      <c r="E172" s="33"/>
      <c r="F172" s="33"/>
      <c r="G172" s="33"/>
      <c r="L172" s="8"/>
      <c r="M172" s="8"/>
    </row>
    <row r="173" spans="3:13" ht="15.75" customHeight="1" x14ac:dyDescent="0.15">
      <c r="C173" s="33"/>
      <c r="D173" s="33"/>
      <c r="E173" s="33"/>
      <c r="F173" s="33"/>
      <c r="G173" s="33"/>
      <c r="L173" s="8"/>
      <c r="M173" s="8"/>
    </row>
    <row r="174" spans="3:13" ht="15.75" customHeight="1" x14ac:dyDescent="0.15">
      <c r="C174" s="33"/>
      <c r="D174" s="33"/>
      <c r="E174" s="33"/>
      <c r="F174" s="33"/>
      <c r="G174" s="33"/>
      <c r="L174" s="8"/>
      <c r="M174" s="8"/>
    </row>
    <row r="175" spans="3:13" ht="15.75" customHeight="1" x14ac:dyDescent="0.15">
      <c r="C175" s="33"/>
      <c r="D175" s="33"/>
      <c r="E175" s="33"/>
      <c r="F175" s="33"/>
      <c r="G175" s="33"/>
      <c r="L175" s="8"/>
      <c r="M175" s="8"/>
    </row>
    <row r="176" spans="3:13" ht="15.75" customHeight="1" x14ac:dyDescent="0.15">
      <c r="C176" s="33"/>
      <c r="D176" s="33"/>
      <c r="E176" s="33"/>
      <c r="F176" s="33"/>
      <c r="G176" s="33"/>
      <c r="L176" s="8"/>
      <c r="M176" s="8"/>
    </row>
    <row r="177" spans="3:13" ht="15.75" customHeight="1" x14ac:dyDescent="0.15">
      <c r="C177" s="33"/>
      <c r="D177" s="33"/>
      <c r="E177" s="33"/>
      <c r="F177" s="33"/>
      <c r="G177" s="33"/>
      <c r="L177" s="8"/>
      <c r="M177" s="8"/>
    </row>
    <row r="178" spans="3:13" ht="15.75" customHeight="1" x14ac:dyDescent="0.15">
      <c r="C178" s="33"/>
      <c r="D178" s="33"/>
      <c r="E178" s="33"/>
      <c r="F178" s="33"/>
      <c r="G178" s="33"/>
      <c r="L178" s="8"/>
      <c r="M178" s="8"/>
    </row>
    <row r="179" spans="3:13" ht="15.75" customHeight="1" x14ac:dyDescent="0.15">
      <c r="C179" s="33"/>
      <c r="D179" s="33"/>
      <c r="E179" s="33"/>
      <c r="F179" s="33"/>
      <c r="G179" s="33"/>
      <c r="L179" s="8"/>
      <c r="M179" s="8"/>
    </row>
    <row r="180" spans="3:13" ht="15.75" customHeight="1" x14ac:dyDescent="0.15">
      <c r="C180" s="33"/>
      <c r="D180" s="33"/>
      <c r="E180" s="33"/>
      <c r="F180" s="33"/>
      <c r="G180" s="33"/>
      <c r="L180" s="8"/>
      <c r="M180" s="8"/>
    </row>
    <row r="181" spans="3:13" ht="15.75" customHeight="1" x14ac:dyDescent="0.15">
      <c r="C181" s="33"/>
      <c r="D181" s="33"/>
      <c r="E181" s="33"/>
      <c r="F181" s="33"/>
      <c r="G181" s="33"/>
      <c r="L181" s="8"/>
      <c r="M181" s="8"/>
    </row>
    <row r="182" spans="3:13" ht="15.75" customHeight="1" x14ac:dyDescent="0.15">
      <c r="C182" s="33"/>
      <c r="D182" s="33"/>
      <c r="E182" s="33"/>
      <c r="F182" s="33"/>
      <c r="G182" s="33"/>
      <c r="L182" s="8"/>
      <c r="M182" s="8"/>
    </row>
    <row r="183" spans="3:13" ht="15.75" customHeight="1" x14ac:dyDescent="0.15">
      <c r="C183" s="33"/>
      <c r="D183" s="33"/>
      <c r="E183" s="33"/>
      <c r="F183" s="33"/>
      <c r="G183" s="33"/>
      <c r="L183" s="8"/>
      <c r="M183" s="8"/>
    </row>
    <row r="184" spans="3:13" ht="15.75" customHeight="1" x14ac:dyDescent="0.15">
      <c r="C184" s="33"/>
      <c r="D184" s="33"/>
      <c r="E184" s="33"/>
      <c r="F184" s="33"/>
      <c r="G184" s="33"/>
      <c r="L184" s="8"/>
      <c r="M184" s="8"/>
    </row>
    <row r="185" spans="3:13" ht="15.75" customHeight="1" x14ac:dyDescent="0.15">
      <c r="C185" s="33"/>
      <c r="D185" s="33"/>
      <c r="E185" s="33"/>
      <c r="F185" s="33"/>
      <c r="G185" s="33"/>
      <c r="L185" s="8"/>
      <c r="M185" s="8"/>
    </row>
    <row r="186" spans="3:13" ht="15.75" customHeight="1" x14ac:dyDescent="0.15">
      <c r="C186" s="33"/>
      <c r="D186" s="33"/>
      <c r="E186" s="33"/>
      <c r="F186" s="33"/>
      <c r="G186" s="33"/>
      <c r="L186" s="8"/>
      <c r="M186" s="8"/>
    </row>
    <row r="187" spans="3:13" ht="15.75" customHeight="1" x14ac:dyDescent="0.15">
      <c r="C187" s="33"/>
      <c r="D187" s="33"/>
      <c r="E187" s="33"/>
      <c r="F187" s="33"/>
      <c r="G187" s="33"/>
      <c r="L187" s="8"/>
      <c r="M187" s="8"/>
    </row>
    <row r="188" spans="3:13" ht="15.75" customHeight="1" x14ac:dyDescent="0.15">
      <c r="C188" s="33"/>
      <c r="D188" s="33"/>
      <c r="E188" s="33"/>
      <c r="F188" s="33"/>
      <c r="G188" s="33"/>
      <c r="L188" s="8"/>
      <c r="M188" s="8"/>
    </row>
    <row r="189" spans="3:13" ht="15.75" customHeight="1" x14ac:dyDescent="0.15">
      <c r="C189" s="33"/>
      <c r="D189" s="33"/>
      <c r="E189" s="33"/>
      <c r="F189" s="33"/>
      <c r="G189" s="33"/>
      <c r="L189" s="8"/>
      <c r="M189" s="8"/>
    </row>
    <row r="190" spans="3:13" ht="15.75" customHeight="1" x14ac:dyDescent="0.15">
      <c r="C190" s="33"/>
      <c r="D190" s="33"/>
      <c r="E190" s="33"/>
      <c r="F190" s="33"/>
      <c r="G190" s="33"/>
      <c r="L190" s="8"/>
      <c r="M190" s="8"/>
    </row>
    <row r="191" spans="3:13" ht="15.75" customHeight="1" x14ac:dyDescent="0.15">
      <c r="C191" s="33"/>
      <c r="D191" s="33"/>
      <c r="E191" s="33"/>
      <c r="F191" s="33"/>
      <c r="G191" s="33"/>
      <c r="L191" s="8"/>
      <c r="M191" s="8"/>
    </row>
    <row r="192" spans="3:13" ht="15.75" customHeight="1" x14ac:dyDescent="0.15">
      <c r="C192" s="33"/>
      <c r="D192" s="33"/>
      <c r="E192" s="33"/>
      <c r="F192" s="33"/>
      <c r="G192" s="33"/>
      <c r="L192" s="8"/>
      <c r="M192" s="8"/>
    </row>
    <row r="193" spans="3:13" ht="15.75" customHeight="1" x14ac:dyDescent="0.15">
      <c r="C193" s="33"/>
      <c r="D193" s="33"/>
      <c r="E193" s="33"/>
      <c r="F193" s="33"/>
      <c r="G193" s="33"/>
      <c r="L193" s="8"/>
      <c r="M193" s="8"/>
    </row>
    <row r="194" spans="3:13" ht="15.75" customHeight="1" x14ac:dyDescent="0.15">
      <c r="C194" s="33"/>
      <c r="D194" s="33"/>
      <c r="E194" s="33"/>
      <c r="F194" s="33"/>
      <c r="G194" s="33"/>
      <c r="L194" s="8"/>
      <c r="M194" s="8"/>
    </row>
    <row r="195" spans="3:13" ht="15.75" customHeight="1" x14ac:dyDescent="0.15">
      <c r="C195" s="33"/>
      <c r="D195" s="33"/>
      <c r="E195" s="33"/>
      <c r="F195" s="33"/>
      <c r="G195" s="33"/>
      <c r="L195" s="8"/>
      <c r="M195" s="8"/>
    </row>
    <row r="196" spans="3:13" ht="15.75" customHeight="1" x14ac:dyDescent="0.15">
      <c r="C196" s="33"/>
      <c r="D196" s="33"/>
      <c r="E196" s="33"/>
      <c r="F196" s="33"/>
      <c r="G196" s="33"/>
      <c r="L196" s="8"/>
      <c r="M196" s="8"/>
    </row>
    <row r="197" spans="3:13" ht="15.75" customHeight="1" x14ac:dyDescent="0.15">
      <c r="C197" s="33"/>
      <c r="D197" s="33"/>
      <c r="E197" s="33"/>
      <c r="F197" s="33"/>
      <c r="G197" s="33"/>
      <c r="L197" s="8"/>
      <c r="M197" s="8"/>
    </row>
    <row r="198" spans="3:13" ht="15.75" customHeight="1" x14ac:dyDescent="0.15">
      <c r="C198" s="33"/>
      <c r="D198" s="33"/>
      <c r="E198" s="33"/>
      <c r="F198" s="33"/>
      <c r="G198" s="33"/>
      <c r="L198" s="8"/>
      <c r="M198" s="8"/>
    </row>
    <row r="199" spans="3:13" ht="15.75" customHeight="1" x14ac:dyDescent="0.15">
      <c r="C199" s="33"/>
      <c r="D199" s="33"/>
      <c r="E199" s="33"/>
      <c r="F199" s="33"/>
      <c r="G199" s="33"/>
      <c r="L199" s="8"/>
      <c r="M199" s="8"/>
    </row>
    <row r="200" spans="3:13" ht="15.75" customHeight="1" x14ac:dyDescent="0.15">
      <c r="C200" s="33"/>
      <c r="D200" s="33"/>
      <c r="E200" s="33"/>
      <c r="F200" s="33"/>
      <c r="G200" s="33"/>
      <c r="L200" s="8"/>
      <c r="M200" s="8"/>
    </row>
    <row r="201" spans="3:13" ht="15.75" customHeight="1" x14ac:dyDescent="0.15">
      <c r="C201" s="33"/>
      <c r="D201" s="33"/>
      <c r="E201" s="33"/>
      <c r="F201" s="33"/>
      <c r="G201" s="33"/>
      <c r="L201" s="8"/>
      <c r="M201" s="8"/>
    </row>
    <row r="202" spans="3:13" ht="15.75" customHeight="1" x14ac:dyDescent="0.15">
      <c r="C202" s="33"/>
      <c r="D202" s="33"/>
      <c r="E202" s="33"/>
      <c r="F202" s="33"/>
      <c r="G202" s="33"/>
      <c r="L202" s="8"/>
      <c r="M202" s="8"/>
    </row>
    <row r="203" spans="3:13" ht="15.75" customHeight="1" x14ac:dyDescent="0.15">
      <c r="C203" s="33"/>
      <c r="D203" s="33"/>
      <c r="E203" s="33"/>
      <c r="F203" s="33"/>
      <c r="G203" s="33"/>
      <c r="L203" s="8"/>
      <c r="M203" s="8"/>
    </row>
    <row r="204" spans="3:13" ht="15.75" customHeight="1" x14ac:dyDescent="0.15">
      <c r="C204" s="33"/>
      <c r="D204" s="33"/>
      <c r="E204" s="33"/>
      <c r="F204" s="33"/>
      <c r="G204" s="33"/>
      <c r="L204" s="8"/>
      <c r="M204" s="8"/>
    </row>
    <row r="205" spans="3:13" ht="15.75" customHeight="1" x14ac:dyDescent="0.15">
      <c r="C205" s="33"/>
      <c r="D205" s="33"/>
      <c r="E205" s="33"/>
      <c r="F205" s="33"/>
      <c r="G205" s="33"/>
      <c r="L205" s="8"/>
      <c r="M205" s="8"/>
    </row>
    <row r="206" spans="3:13" ht="15.75" customHeight="1" x14ac:dyDescent="0.15">
      <c r="C206" s="33"/>
      <c r="D206" s="33"/>
      <c r="E206" s="33"/>
      <c r="F206" s="33"/>
      <c r="G206" s="33"/>
      <c r="L206" s="8"/>
      <c r="M206" s="8"/>
    </row>
    <row r="207" spans="3:13" ht="15.75" customHeight="1" x14ac:dyDescent="0.15">
      <c r="C207" s="33"/>
      <c r="D207" s="33"/>
      <c r="E207" s="33"/>
      <c r="F207" s="33"/>
      <c r="G207" s="33"/>
      <c r="L207" s="8"/>
      <c r="M207" s="8"/>
    </row>
    <row r="208" spans="3:13" ht="15.75" customHeight="1" x14ac:dyDescent="0.15">
      <c r="C208" s="33"/>
      <c r="D208" s="33"/>
      <c r="E208" s="33"/>
      <c r="F208" s="33"/>
      <c r="G208" s="33"/>
      <c r="L208" s="8"/>
      <c r="M208" s="8"/>
    </row>
    <row r="209" spans="3:13" ht="15.75" customHeight="1" x14ac:dyDescent="0.15">
      <c r="C209" s="33"/>
      <c r="D209" s="33"/>
      <c r="E209" s="33"/>
      <c r="F209" s="33"/>
      <c r="G209" s="33"/>
      <c r="L209" s="8"/>
      <c r="M209" s="8"/>
    </row>
    <row r="210" spans="3:13" ht="15.75" customHeight="1" x14ac:dyDescent="0.15">
      <c r="C210" s="33"/>
      <c r="D210" s="33"/>
      <c r="E210" s="33"/>
      <c r="F210" s="33"/>
      <c r="G210" s="33"/>
      <c r="L210" s="8"/>
      <c r="M210" s="8"/>
    </row>
    <row r="211" spans="3:13" ht="15.75" customHeight="1" x14ac:dyDescent="0.15">
      <c r="C211" s="33"/>
      <c r="D211" s="33"/>
      <c r="E211" s="33"/>
      <c r="F211" s="33"/>
      <c r="G211" s="33"/>
      <c r="L211" s="8"/>
      <c r="M211" s="8"/>
    </row>
    <row r="212" spans="3:13" ht="15.75" customHeight="1" x14ac:dyDescent="0.15">
      <c r="C212" s="33"/>
      <c r="D212" s="33"/>
      <c r="E212" s="33"/>
      <c r="F212" s="33"/>
      <c r="G212" s="33"/>
      <c r="L212" s="8"/>
      <c r="M212" s="8"/>
    </row>
    <row r="213" spans="3:13" ht="15.75" customHeight="1" x14ac:dyDescent="0.15">
      <c r="C213" s="33"/>
      <c r="D213" s="33"/>
      <c r="E213" s="33"/>
      <c r="F213" s="33"/>
      <c r="G213" s="33"/>
      <c r="L213" s="8"/>
      <c r="M213" s="8"/>
    </row>
    <row r="214" spans="3:13" ht="15.75" customHeight="1" x14ac:dyDescent="0.15">
      <c r="C214" s="33"/>
      <c r="D214" s="33"/>
      <c r="E214" s="33"/>
      <c r="F214" s="33"/>
      <c r="G214" s="33"/>
      <c r="L214" s="8"/>
      <c r="M214" s="8"/>
    </row>
    <row r="215" spans="3:13" ht="15.75" customHeight="1" x14ac:dyDescent="0.15">
      <c r="C215" s="33"/>
      <c r="D215" s="33"/>
      <c r="E215" s="33"/>
      <c r="F215" s="33"/>
      <c r="G215" s="33"/>
      <c r="L215" s="8"/>
      <c r="M215" s="8"/>
    </row>
    <row r="216" spans="3:13" ht="15.75" customHeight="1" x14ac:dyDescent="0.15">
      <c r="C216" s="33"/>
      <c r="D216" s="33"/>
      <c r="E216" s="33"/>
      <c r="F216" s="33"/>
      <c r="G216" s="33"/>
      <c r="L216" s="8"/>
      <c r="M216" s="8"/>
    </row>
    <row r="217" spans="3:13" ht="15.75" customHeight="1" x14ac:dyDescent="0.15">
      <c r="C217" s="33"/>
      <c r="D217" s="33"/>
      <c r="E217" s="33"/>
      <c r="F217" s="33"/>
      <c r="G217" s="33"/>
      <c r="L217" s="8"/>
      <c r="M217" s="8"/>
    </row>
    <row r="218" spans="3:13" ht="15.75" customHeight="1" x14ac:dyDescent="0.15">
      <c r="C218" s="33"/>
      <c r="D218" s="33"/>
      <c r="E218" s="33"/>
      <c r="F218" s="33"/>
      <c r="G218" s="33"/>
      <c r="L218" s="8"/>
      <c r="M218" s="8"/>
    </row>
    <row r="219" spans="3:13" ht="15.75" customHeight="1" x14ac:dyDescent="0.15">
      <c r="C219" s="33"/>
      <c r="D219" s="33"/>
      <c r="E219" s="33"/>
      <c r="F219" s="33"/>
      <c r="G219" s="33"/>
      <c r="L219" s="8"/>
      <c r="M219" s="8"/>
    </row>
    <row r="220" spans="3:13" ht="15.75" customHeight="1" x14ac:dyDescent="0.15">
      <c r="C220" s="33"/>
      <c r="D220" s="33"/>
      <c r="E220" s="33"/>
      <c r="F220" s="33"/>
      <c r="G220" s="33"/>
      <c r="L220" s="8"/>
      <c r="M220" s="8"/>
    </row>
    <row r="221" spans="3:13" ht="15.75" customHeight="1" x14ac:dyDescent="0.15">
      <c r="C221" s="33"/>
      <c r="D221" s="33"/>
      <c r="E221" s="33"/>
      <c r="F221" s="33"/>
      <c r="G221" s="33"/>
      <c r="L221" s="8"/>
      <c r="M221" s="8"/>
    </row>
    <row r="222" spans="3:13" ht="15.75" customHeight="1" x14ac:dyDescent="0.15">
      <c r="C222" s="33"/>
      <c r="D222" s="33"/>
      <c r="E222" s="33"/>
      <c r="F222" s="33"/>
      <c r="G222" s="33"/>
      <c r="L222" s="8"/>
      <c r="M222" s="8"/>
    </row>
    <row r="223" spans="3:13" ht="15.75" customHeight="1" x14ac:dyDescent="0.15">
      <c r="C223" s="33"/>
      <c r="D223" s="33"/>
      <c r="E223" s="33"/>
      <c r="F223" s="33"/>
      <c r="G223" s="33"/>
      <c r="L223" s="8"/>
      <c r="M223" s="8"/>
    </row>
    <row r="224" spans="3:13" ht="15.75" customHeight="1" x14ac:dyDescent="0.15">
      <c r="C224" s="33"/>
      <c r="D224" s="33"/>
      <c r="E224" s="33"/>
      <c r="F224" s="33"/>
      <c r="G224" s="33"/>
      <c r="L224" s="8"/>
      <c r="M224" s="8"/>
    </row>
    <row r="225" spans="3:13" ht="15.75" customHeight="1" x14ac:dyDescent="0.15">
      <c r="C225" s="33"/>
      <c r="D225" s="33"/>
      <c r="E225" s="33"/>
      <c r="F225" s="33"/>
      <c r="G225" s="33"/>
      <c r="L225" s="8"/>
      <c r="M225" s="8"/>
    </row>
    <row r="226" spans="3:13" ht="15.75" customHeight="1" x14ac:dyDescent="0.15">
      <c r="C226" s="33"/>
      <c r="D226" s="33"/>
      <c r="E226" s="33"/>
      <c r="F226" s="33"/>
      <c r="G226" s="33"/>
      <c r="L226" s="8"/>
      <c r="M226" s="8"/>
    </row>
    <row r="227" spans="3:13" ht="15.75" customHeight="1" x14ac:dyDescent="0.15">
      <c r="C227" s="33"/>
      <c r="D227" s="33"/>
      <c r="E227" s="33"/>
      <c r="F227" s="33"/>
      <c r="G227" s="33"/>
      <c r="L227" s="8"/>
      <c r="M227" s="8"/>
    </row>
    <row r="228" spans="3:13" ht="15.75" customHeight="1" x14ac:dyDescent="0.15">
      <c r="C228" s="33"/>
      <c r="D228" s="33"/>
      <c r="E228" s="33"/>
      <c r="F228" s="33"/>
      <c r="G228" s="33"/>
      <c r="L228" s="8"/>
      <c r="M228" s="8"/>
    </row>
    <row r="229" spans="3:13" ht="15.75" customHeight="1" x14ac:dyDescent="0.15">
      <c r="C229" s="33"/>
      <c r="D229" s="33"/>
      <c r="E229" s="33"/>
      <c r="F229" s="33"/>
      <c r="G229" s="33"/>
      <c r="L229" s="8"/>
      <c r="M229" s="8"/>
    </row>
    <row r="230" spans="3:13" ht="15.75" customHeight="1" x14ac:dyDescent="0.15">
      <c r="C230" s="33"/>
      <c r="D230" s="33"/>
      <c r="E230" s="33"/>
      <c r="F230" s="33"/>
      <c r="G230" s="33"/>
      <c r="L230" s="8"/>
      <c r="M230" s="8"/>
    </row>
    <row r="231" spans="3:13" ht="15.75" customHeight="1" x14ac:dyDescent="0.15">
      <c r="C231" s="33"/>
      <c r="D231" s="33"/>
      <c r="E231" s="33"/>
      <c r="F231" s="33"/>
      <c r="G231" s="33"/>
      <c r="L231" s="8"/>
      <c r="M231" s="8"/>
    </row>
    <row r="232" spans="3:13" ht="15.75" customHeight="1" x14ac:dyDescent="0.15">
      <c r="C232" s="33"/>
      <c r="D232" s="33"/>
      <c r="E232" s="33"/>
      <c r="F232" s="33"/>
      <c r="G232" s="33"/>
      <c r="L232" s="8"/>
      <c r="M232" s="8"/>
    </row>
    <row r="233" spans="3:13" ht="15.75" customHeight="1" x14ac:dyDescent="0.15">
      <c r="C233" s="33"/>
      <c r="D233" s="33"/>
      <c r="E233" s="33"/>
      <c r="F233" s="33"/>
      <c r="G233" s="33"/>
      <c r="L233" s="8"/>
      <c r="M233" s="8"/>
    </row>
    <row r="234" spans="3:13" ht="15.75" customHeight="1" x14ac:dyDescent="0.15">
      <c r="C234" s="33"/>
      <c r="D234" s="33"/>
      <c r="E234" s="33"/>
      <c r="F234" s="33"/>
      <c r="G234" s="33"/>
      <c r="L234" s="8"/>
      <c r="M234" s="8"/>
    </row>
    <row r="235" spans="3:13" ht="15.75" customHeight="1" x14ac:dyDescent="0.15">
      <c r="C235" s="33"/>
      <c r="D235" s="33"/>
      <c r="E235" s="33"/>
      <c r="F235" s="33"/>
      <c r="G235" s="33"/>
      <c r="L235" s="8"/>
      <c r="M235" s="8"/>
    </row>
    <row r="236" spans="3:13" ht="15.75" customHeight="1" x14ac:dyDescent="0.15">
      <c r="C236" s="33"/>
      <c r="D236" s="33"/>
      <c r="E236" s="33"/>
      <c r="F236" s="33"/>
      <c r="G236" s="33"/>
      <c r="L236" s="8"/>
      <c r="M236" s="8"/>
    </row>
    <row r="237" spans="3:13" ht="15.75" customHeight="1" x14ac:dyDescent="0.15">
      <c r="C237" s="33"/>
      <c r="D237" s="33"/>
      <c r="E237" s="33"/>
      <c r="F237" s="33"/>
      <c r="G237" s="33"/>
      <c r="L237" s="8"/>
      <c r="M237" s="8"/>
    </row>
    <row r="238" spans="3:13" ht="15.75" customHeight="1" x14ac:dyDescent="0.15">
      <c r="C238" s="33"/>
      <c r="D238" s="33"/>
      <c r="E238" s="33"/>
      <c r="F238" s="33"/>
      <c r="G238" s="33"/>
      <c r="L238" s="8"/>
      <c r="M238" s="8"/>
    </row>
    <row r="239" spans="3:13" ht="15.75" customHeight="1" x14ac:dyDescent="0.15">
      <c r="L239" s="8"/>
      <c r="M239" s="8"/>
    </row>
    <row r="240" spans="3:13" ht="15.75" customHeight="1" x14ac:dyDescent="0.15">
      <c r="L240" s="8"/>
      <c r="M240" s="8"/>
    </row>
    <row r="241" spans="12:13" ht="15.75" customHeight="1" x14ac:dyDescent="0.15">
      <c r="L241" s="8"/>
      <c r="M241" s="8"/>
    </row>
    <row r="242" spans="12:13" ht="15.75" customHeight="1" x14ac:dyDescent="0.15">
      <c r="L242" s="8"/>
      <c r="M242" s="8"/>
    </row>
    <row r="243" spans="12:13" ht="15.75" customHeight="1" x14ac:dyDescent="0.15">
      <c r="L243" s="8"/>
      <c r="M243" s="8"/>
    </row>
    <row r="244" spans="12:13" ht="15.75" customHeight="1" x14ac:dyDescent="0.15">
      <c r="L244" s="8"/>
      <c r="M244" s="8"/>
    </row>
    <row r="245" spans="12:13" ht="15.75" customHeight="1" x14ac:dyDescent="0.15">
      <c r="L245" s="8"/>
      <c r="M245" s="8"/>
    </row>
    <row r="246" spans="12:13" ht="15.75" customHeight="1" x14ac:dyDescent="0.15">
      <c r="L246" s="8"/>
      <c r="M246" s="8"/>
    </row>
    <row r="247" spans="12:13" ht="15.75" customHeight="1" x14ac:dyDescent="0.15">
      <c r="L247" s="8"/>
      <c r="M247" s="8"/>
    </row>
    <row r="248" spans="12:13" ht="15.75" customHeight="1" x14ac:dyDescent="0.15">
      <c r="L248" s="8"/>
      <c r="M248" s="8"/>
    </row>
    <row r="249" spans="12:13" ht="15.75" customHeight="1" x14ac:dyDescent="0.15">
      <c r="L249" s="8"/>
      <c r="M249" s="8"/>
    </row>
    <row r="250" spans="12:13" ht="15.75" customHeight="1" x14ac:dyDescent="0.15">
      <c r="L250" s="8"/>
      <c r="M250" s="8"/>
    </row>
    <row r="251" spans="12:13" ht="15.75" customHeight="1" x14ac:dyDescent="0.15">
      <c r="L251" s="8"/>
      <c r="M251" s="8"/>
    </row>
    <row r="252" spans="12:13" ht="15.75" customHeight="1" x14ac:dyDescent="0.15">
      <c r="L252" s="8"/>
      <c r="M252" s="8"/>
    </row>
    <row r="253" spans="12:13" ht="15.75" customHeight="1" x14ac:dyDescent="0.15">
      <c r="L253" s="8"/>
      <c r="M253" s="8"/>
    </row>
    <row r="254" spans="12:13" ht="15.75" customHeight="1" x14ac:dyDescent="0.15">
      <c r="L254" s="8"/>
      <c r="M254" s="8"/>
    </row>
    <row r="255" spans="12:13" ht="15.75" customHeight="1" x14ac:dyDescent="0.15">
      <c r="L255" s="8"/>
      <c r="M255" s="8"/>
    </row>
    <row r="256" spans="12:13" ht="15.75" customHeight="1" x14ac:dyDescent="0.15">
      <c r="L256" s="8"/>
      <c r="M256" s="8"/>
    </row>
    <row r="257" spans="12:13" ht="15.75" customHeight="1" x14ac:dyDescent="0.15">
      <c r="L257" s="8"/>
      <c r="M257" s="8"/>
    </row>
    <row r="258" spans="12:13" ht="15.75" customHeight="1" x14ac:dyDescent="0.15">
      <c r="L258" s="8"/>
      <c r="M258" s="8"/>
    </row>
    <row r="259" spans="12:13" ht="15.75" customHeight="1" x14ac:dyDescent="0.15">
      <c r="L259" s="8"/>
      <c r="M259" s="8"/>
    </row>
    <row r="260" spans="12:13" ht="15.75" customHeight="1" x14ac:dyDescent="0.15">
      <c r="L260" s="8"/>
      <c r="M260" s="8"/>
    </row>
    <row r="261" spans="12:13" ht="15.75" customHeight="1" x14ac:dyDescent="0.15">
      <c r="L261" s="8"/>
      <c r="M261" s="8"/>
    </row>
    <row r="262" spans="12:13" ht="15.75" customHeight="1" x14ac:dyDescent="0.15">
      <c r="L262" s="8"/>
      <c r="M262" s="8"/>
    </row>
    <row r="263" spans="12:13" ht="15.75" customHeight="1" x14ac:dyDescent="0.15">
      <c r="L263" s="8"/>
      <c r="M263" s="8"/>
    </row>
    <row r="264" spans="12:13" ht="15.75" customHeight="1" x14ac:dyDescent="0.15">
      <c r="L264" s="8"/>
      <c r="M264" s="8"/>
    </row>
    <row r="265" spans="12:13" ht="15.75" customHeight="1" x14ac:dyDescent="0.15">
      <c r="L265" s="8"/>
      <c r="M265" s="8"/>
    </row>
    <row r="266" spans="12:13" ht="15.75" customHeight="1" x14ac:dyDescent="0.15">
      <c r="L266" s="8"/>
      <c r="M266" s="8"/>
    </row>
    <row r="267" spans="12:13" ht="15.75" customHeight="1" x14ac:dyDescent="0.15">
      <c r="L267" s="8"/>
      <c r="M267" s="8"/>
    </row>
    <row r="268" spans="12:13" ht="15.75" customHeight="1" x14ac:dyDescent="0.15">
      <c r="L268" s="8"/>
      <c r="M268" s="8"/>
    </row>
    <row r="269" spans="12:13" ht="15.75" customHeight="1" x14ac:dyDescent="0.15">
      <c r="L269" s="8"/>
      <c r="M269" s="8"/>
    </row>
    <row r="270" spans="12:13" ht="15.75" customHeight="1" x14ac:dyDescent="0.15">
      <c r="L270" s="8"/>
      <c r="M270" s="8"/>
    </row>
    <row r="271" spans="12:13" ht="15.75" customHeight="1" x14ac:dyDescent="0.15">
      <c r="L271" s="8"/>
      <c r="M271" s="8"/>
    </row>
    <row r="272" spans="12:13" ht="15.75" customHeight="1" x14ac:dyDescent="0.15">
      <c r="L272" s="8"/>
      <c r="M272" s="8"/>
    </row>
    <row r="273" spans="12:13" ht="15.75" customHeight="1" x14ac:dyDescent="0.15">
      <c r="L273" s="8"/>
      <c r="M273" s="8"/>
    </row>
    <row r="274" spans="12:13" ht="15.75" customHeight="1" x14ac:dyDescent="0.15">
      <c r="L274" s="8"/>
      <c r="M274" s="8"/>
    </row>
    <row r="275" spans="12:13" ht="15.75" customHeight="1" x14ac:dyDescent="0.15">
      <c r="L275" s="8"/>
      <c r="M275" s="8"/>
    </row>
    <row r="276" spans="12:13" ht="15.75" customHeight="1" x14ac:dyDescent="0.15">
      <c r="L276" s="8"/>
      <c r="M276" s="8"/>
    </row>
    <row r="277" spans="12:13" ht="15.75" customHeight="1" x14ac:dyDescent="0.15">
      <c r="L277" s="8"/>
      <c r="M277" s="8"/>
    </row>
    <row r="278" spans="12:13" ht="15.75" customHeight="1" x14ac:dyDescent="0.15">
      <c r="L278" s="8"/>
      <c r="M278" s="8"/>
    </row>
    <row r="279" spans="12:13" ht="15.75" customHeight="1" x14ac:dyDescent="0.15">
      <c r="L279" s="8"/>
      <c r="M279" s="8"/>
    </row>
    <row r="280" spans="12:13" ht="15.75" customHeight="1" x14ac:dyDescent="0.15">
      <c r="L280" s="8"/>
      <c r="M280" s="8"/>
    </row>
    <row r="281" spans="12:13" ht="15.75" customHeight="1" x14ac:dyDescent="0.15">
      <c r="L281" s="8"/>
      <c r="M281" s="8"/>
    </row>
    <row r="282" spans="12:13" ht="15.75" customHeight="1" x14ac:dyDescent="0.15">
      <c r="L282" s="8"/>
      <c r="M282" s="8"/>
    </row>
    <row r="283" spans="12:13" ht="15.75" customHeight="1" x14ac:dyDescent="0.15">
      <c r="L283" s="8"/>
      <c r="M283" s="8"/>
    </row>
    <row r="284" spans="12:13" ht="15.75" customHeight="1" x14ac:dyDescent="0.15">
      <c r="L284" s="8"/>
      <c r="M284" s="8"/>
    </row>
    <row r="285" spans="12:13" ht="15.75" customHeight="1" x14ac:dyDescent="0.15">
      <c r="L285" s="8"/>
      <c r="M285" s="8"/>
    </row>
    <row r="286" spans="12:13" ht="15.75" customHeight="1" x14ac:dyDescent="0.15">
      <c r="L286" s="8"/>
      <c r="M286" s="8"/>
    </row>
    <row r="287" spans="12:13" ht="15.75" customHeight="1" x14ac:dyDescent="0.15">
      <c r="L287" s="8"/>
      <c r="M287" s="8"/>
    </row>
    <row r="288" spans="12:13" ht="15.75" customHeight="1" x14ac:dyDescent="0.15">
      <c r="L288" s="8"/>
      <c r="M288" s="8"/>
    </row>
    <row r="289" spans="12:13" ht="15.75" customHeight="1" x14ac:dyDescent="0.15">
      <c r="L289" s="8"/>
      <c r="M289" s="8"/>
    </row>
    <row r="290" spans="12:13" ht="15.75" customHeight="1" x14ac:dyDescent="0.15">
      <c r="L290" s="8"/>
      <c r="M290" s="8"/>
    </row>
    <row r="291" spans="12:13" ht="15.75" customHeight="1" x14ac:dyDescent="0.15">
      <c r="L291" s="8"/>
      <c r="M291" s="8"/>
    </row>
    <row r="292" spans="12:13" ht="15.75" customHeight="1" x14ac:dyDescent="0.15">
      <c r="L292" s="8"/>
      <c r="M292" s="8"/>
    </row>
    <row r="293" spans="12:13" ht="15.75" customHeight="1" x14ac:dyDescent="0.15">
      <c r="L293" s="8"/>
      <c r="M293" s="8"/>
    </row>
    <row r="294" spans="12:13" ht="15.75" customHeight="1" x14ac:dyDescent="0.15">
      <c r="L294" s="8"/>
      <c r="M294" s="8"/>
    </row>
    <row r="295" spans="12:13" ht="15.75" customHeight="1" x14ac:dyDescent="0.15">
      <c r="L295" s="8"/>
      <c r="M295" s="8"/>
    </row>
    <row r="296" spans="12:13" ht="15.75" customHeight="1" x14ac:dyDescent="0.15">
      <c r="L296" s="8"/>
      <c r="M296" s="8"/>
    </row>
    <row r="297" spans="12:13" ht="15.75" customHeight="1" x14ac:dyDescent="0.15">
      <c r="L297" s="8"/>
      <c r="M297" s="8"/>
    </row>
    <row r="298" spans="12:13" ht="15.75" customHeight="1" x14ac:dyDescent="0.15">
      <c r="L298" s="8"/>
      <c r="M298" s="8"/>
    </row>
    <row r="299" spans="12:13" ht="15.75" customHeight="1" x14ac:dyDescent="0.15">
      <c r="L299" s="8"/>
      <c r="M299" s="8"/>
    </row>
    <row r="300" spans="12:13" ht="15.75" customHeight="1" x14ac:dyDescent="0.15">
      <c r="L300" s="8"/>
      <c r="M300" s="8"/>
    </row>
    <row r="301" spans="12:13" ht="15.75" customHeight="1" x14ac:dyDescent="0.15">
      <c r="L301" s="8"/>
      <c r="M301" s="8"/>
    </row>
    <row r="302" spans="12:13" ht="15.75" customHeight="1" x14ac:dyDescent="0.15">
      <c r="L302" s="8"/>
      <c r="M302" s="8"/>
    </row>
    <row r="303" spans="12:13" ht="15.75" customHeight="1" x14ac:dyDescent="0.15">
      <c r="L303" s="8"/>
      <c r="M303" s="8"/>
    </row>
    <row r="304" spans="12:13" ht="15.75" customHeight="1" x14ac:dyDescent="0.15">
      <c r="L304" s="8"/>
      <c r="M304" s="8"/>
    </row>
    <row r="305" spans="12:13" ht="15.75" customHeight="1" x14ac:dyDescent="0.15">
      <c r="L305" s="8"/>
      <c r="M305" s="8"/>
    </row>
    <row r="306" spans="12:13" ht="15.75" customHeight="1" x14ac:dyDescent="0.15">
      <c r="L306" s="8"/>
      <c r="M306" s="8"/>
    </row>
    <row r="307" spans="12:13" ht="15.75" customHeight="1" x14ac:dyDescent="0.15">
      <c r="L307" s="8"/>
      <c r="M307" s="8"/>
    </row>
    <row r="308" spans="12:13" ht="15.75" customHeight="1" x14ac:dyDescent="0.15">
      <c r="L308" s="8"/>
      <c r="M308" s="8"/>
    </row>
    <row r="309" spans="12:13" ht="15.75" customHeight="1" x14ac:dyDescent="0.15">
      <c r="L309" s="8"/>
      <c r="M309" s="8"/>
    </row>
    <row r="310" spans="12:13" ht="15.75" customHeight="1" x14ac:dyDescent="0.15">
      <c r="L310" s="8"/>
      <c r="M310" s="8"/>
    </row>
    <row r="311" spans="12:13" ht="15.75" customHeight="1" x14ac:dyDescent="0.15">
      <c r="L311" s="8"/>
      <c r="M311" s="8"/>
    </row>
    <row r="312" spans="12:13" ht="15.75" customHeight="1" x14ac:dyDescent="0.15">
      <c r="L312" s="8"/>
      <c r="M312" s="8"/>
    </row>
    <row r="313" spans="12:13" ht="15.75" customHeight="1" x14ac:dyDescent="0.15">
      <c r="L313" s="8"/>
      <c r="M313" s="8"/>
    </row>
    <row r="314" spans="12:13" ht="15.75" customHeight="1" x14ac:dyDescent="0.15">
      <c r="L314" s="8"/>
      <c r="M314" s="8"/>
    </row>
    <row r="315" spans="12:13" ht="15.75" customHeight="1" x14ac:dyDescent="0.15">
      <c r="L315" s="8"/>
      <c r="M315" s="8"/>
    </row>
    <row r="316" spans="12:13" ht="15.75" customHeight="1" x14ac:dyDescent="0.15">
      <c r="L316" s="8"/>
      <c r="M316" s="8"/>
    </row>
    <row r="317" spans="12:13" ht="15.75" customHeight="1" x14ac:dyDescent="0.15">
      <c r="L317" s="8"/>
      <c r="M317" s="8"/>
    </row>
    <row r="318" spans="12:13" ht="15.75" customHeight="1" x14ac:dyDescent="0.15">
      <c r="L318" s="8"/>
      <c r="M318" s="8"/>
    </row>
    <row r="319" spans="12:13" ht="15.75" customHeight="1" x14ac:dyDescent="0.15">
      <c r="L319" s="8"/>
      <c r="M319" s="8"/>
    </row>
    <row r="320" spans="12:13" ht="15.75" customHeight="1" x14ac:dyDescent="0.15">
      <c r="L320" s="8"/>
      <c r="M320" s="8"/>
    </row>
    <row r="321" spans="12:13" ht="15.75" customHeight="1" x14ac:dyDescent="0.15">
      <c r="L321" s="8"/>
      <c r="M321" s="8"/>
    </row>
    <row r="322" spans="12:13" ht="15.75" customHeight="1" x14ac:dyDescent="0.15">
      <c r="L322" s="8"/>
      <c r="M322" s="8"/>
    </row>
    <row r="323" spans="12:13" ht="15.75" customHeight="1" x14ac:dyDescent="0.15">
      <c r="L323" s="8"/>
      <c r="M323" s="8"/>
    </row>
    <row r="324" spans="12:13" ht="15.75" customHeight="1" x14ac:dyDescent="0.15">
      <c r="L324" s="8"/>
      <c r="M324" s="8"/>
    </row>
    <row r="325" spans="12:13" ht="15.75" customHeight="1" x14ac:dyDescent="0.15">
      <c r="L325" s="8"/>
      <c r="M325" s="8"/>
    </row>
    <row r="326" spans="12:13" ht="15.75" customHeight="1" x14ac:dyDescent="0.15">
      <c r="L326" s="8"/>
      <c r="M326" s="8"/>
    </row>
    <row r="327" spans="12:13" ht="15.75" customHeight="1" x14ac:dyDescent="0.15">
      <c r="L327" s="8"/>
      <c r="M327" s="8"/>
    </row>
    <row r="328" spans="12:13" ht="15.75" customHeight="1" x14ac:dyDescent="0.15">
      <c r="L328" s="8"/>
      <c r="M328" s="8"/>
    </row>
    <row r="329" spans="12:13" ht="15.75" customHeight="1" x14ac:dyDescent="0.15">
      <c r="L329" s="8"/>
      <c r="M329" s="8"/>
    </row>
    <row r="330" spans="12:13" ht="15.75" customHeight="1" x14ac:dyDescent="0.15">
      <c r="L330" s="8"/>
      <c r="M330" s="8"/>
    </row>
    <row r="331" spans="12:13" ht="15.75" customHeight="1" x14ac:dyDescent="0.15">
      <c r="L331" s="8"/>
      <c r="M331" s="8"/>
    </row>
    <row r="332" spans="12:13" ht="15.75" customHeight="1" x14ac:dyDescent="0.15">
      <c r="L332" s="8"/>
      <c r="M332" s="8"/>
    </row>
    <row r="333" spans="12:13" ht="15.75" customHeight="1" x14ac:dyDescent="0.15">
      <c r="L333" s="8"/>
      <c r="M333" s="8"/>
    </row>
    <row r="334" spans="12:13" ht="15.75" customHeight="1" x14ac:dyDescent="0.15">
      <c r="L334" s="8"/>
      <c r="M334" s="8"/>
    </row>
    <row r="335" spans="12:13" ht="15.75" customHeight="1" x14ac:dyDescent="0.15">
      <c r="L335" s="8"/>
      <c r="M335" s="8"/>
    </row>
    <row r="336" spans="12:13" ht="15.75" customHeight="1" x14ac:dyDescent="0.15">
      <c r="L336" s="8"/>
      <c r="M336" s="8"/>
    </row>
    <row r="337" spans="12:13" ht="15.75" customHeight="1" x14ac:dyDescent="0.15">
      <c r="L337" s="8"/>
      <c r="M337" s="8"/>
    </row>
    <row r="338" spans="12:13" ht="15.75" customHeight="1" x14ac:dyDescent="0.15">
      <c r="L338" s="8"/>
      <c r="M338" s="8"/>
    </row>
    <row r="339" spans="12:13" ht="15.75" customHeight="1" x14ac:dyDescent="0.15">
      <c r="L339" s="8"/>
      <c r="M339" s="8"/>
    </row>
    <row r="340" spans="12:13" ht="15.75" customHeight="1" x14ac:dyDescent="0.15">
      <c r="L340" s="8"/>
      <c r="M340" s="8"/>
    </row>
    <row r="341" spans="12:13" ht="15.75" customHeight="1" x14ac:dyDescent="0.15">
      <c r="L341" s="8"/>
      <c r="M341" s="8"/>
    </row>
    <row r="342" spans="12:13" ht="15.75" customHeight="1" x14ac:dyDescent="0.15">
      <c r="L342" s="8"/>
      <c r="M342" s="8"/>
    </row>
    <row r="343" spans="12:13" ht="15.75" customHeight="1" x14ac:dyDescent="0.15">
      <c r="L343" s="8"/>
      <c r="M343" s="8"/>
    </row>
    <row r="344" spans="12:13" ht="15.75" customHeight="1" x14ac:dyDescent="0.15">
      <c r="L344" s="8"/>
      <c r="M344" s="8"/>
    </row>
    <row r="345" spans="12:13" ht="15.75" customHeight="1" x14ac:dyDescent="0.15">
      <c r="L345" s="8"/>
      <c r="M345" s="8"/>
    </row>
    <row r="346" spans="12:13" ht="15.75" customHeight="1" x14ac:dyDescent="0.15">
      <c r="L346" s="8"/>
      <c r="M346" s="8"/>
    </row>
    <row r="347" spans="12:13" ht="15.75" customHeight="1" x14ac:dyDescent="0.15">
      <c r="L347" s="8"/>
      <c r="M347" s="8"/>
    </row>
    <row r="348" spans="12:13" ht="15.75" customHeight="1" x14ac:dyDescent="0.15">
      <c r="L348" s="8"/>
      <c r="M348" s="8"/>
    </row>
    <row r="349" spans="12:13" ht="15.75" customHeight="1" x14ac:dyDescent="0.15">
      <c r="L349" s="8"/>
      <c r="M349" s="8"/>
    </row>
    <row r="350" spans="12:13" ht="15.75" customHeight="1" x14ac:dyDescent="0.15">
      <c r="L350" s="8"/>
      <c r="M350" s="8"/>
    </row>
    <row r="351" spans="12:13" ht="15.75" customHeight="1" x14ac:dyDescent="0.15">
      <c r="L351" s="8"/>
      <c r="M351" s="8"/>
    </row>
    <row r="352" spans="12:13" ht="15.75" customHeight="1" x14ac:dyDescent="0.15">
      <c r="L352" s="8"/>
      <c r="M352" s="8"/>
    </row>
    <row r="353" spans="12:13" ht="15.75" customHeight="1" x14ac:dyDescent="0.15">
      <c r="L353" s="8"/>
      <c r="M353" s="8"/>
    </row>
    <row r="354" spans="12:13" ht="15.75" customHeight="1" x14ac:dyDescent="0.15">
      <c r="L354" s="8"/>
      <c r="M354" s="8"/>
    </row>
    <row r="355" spans="12:13" ht="15.75" customHeight="1" x14ac:dyDescent="0.15">
      <c r="L355" s="8"/>
      <c r="M355" s="8"/>
    </row>
    <row r="356" spans="12:13" ht="15.75" customHeight="1" x14ac:dyDescent="0.15">
      <c r="L356" s="8"/>
      <c r="M356" s="8"/>
    </row>
    <row r="357" spans="12:13" ht="15.75" customHeight="1" x14ac:dyDescent="0.15">
      <c r="L357" s="8"/>
      <c r="M357" s="8"/>
    </row>
    <row r="358" spans="12:13" ht="15.75" customHeight="1" x14ac:dyDescent="0.15">
      <c r="L358" s="8"/>
      <c r="M358" s="8"/>
    </row>
    <row r="359" spans="12:13" ht="15.75" customHeight="1" x14ac:dyDescent="0.15">
      <c r="L359" s="8"/>
      <c r="M359" s="8"/>
    </row>
    <row r="360" spans="12:13" ht="15.75" customHeight="1" x14ac:dyDescent="0.15">
      <c r="L360" s="8"/>
      <c r="M360" s="8"/>
    </row>
    <row r="361" spans="12:13" ht="15.75" customHeight="1" x14ac:dyDescent="0.15">
      <c r="L361" s="8"/>
      <c r="M361" s="8"/>
    </row>
    <row r="362" spans="12:13" ht="15.75" customHeight="1" x14ac:dyDescent="0.15">
      <c r="L362" s="8"/>
      <c r="M362" s="8"/>
    </row>
    <row r="363" spans="12:13" ht="15.75" customHeight="1" x14ac:dyDescent="0.15">
      <c r="L363" s="8"/>
      <c r="M363" s="8"/>
    </row>
    <row r="364" spans="12:13" ht="15.75" customHeight="1" x14ac:dyDescent="0.15">
      <c r="L364" s="8"/>
      <c r="M364" s="8"/>
    </row>
    <row r="365" spans="12:13" ht="15.75" customHeight="1" x14ac:dyDescent="0.15">
      <c r="L365" s="8"/>
      <c r="M365" s="8"/>
    </row>
    <row r="366" spans="12:13" ht="15.75" customHeight="1" x14ac:dyDescent="0.15">
      <c r="L366" s="8"/>
      <c r="M366" s="8"/>
    </row>
    <row r="367" spans="12:13" ht="15.75" customHeight="1" x14ac:dyDescent="0.15">
      <c r="L367" s="8"/>
      <c r="M367" s="8"/>
    </row>
    <row r="368" spans="12:13" ht="15.75" customHeight="1" x14ac:dyDescent="0.15">
      <c r="L368" s="8"/>
      <c r="M368" s="8"/>
    </row>
    <row r="369" spans="12:13" ht="15.75" customHeight="1" x14ac:dyDescent="0.15">
      <c r="L369" s="8"/>
      <c r="M369" s="8"/>
    </row>
    <row r="370" spans="12:13" ht="15.75" customHeight="1" x14ac:dyDescent="0.15">
      <c r="L370" s="8"/>
      <c r="M370" s="8"/>
    </row>
    <row r="371" spans="12:13" ht="15.75" customHeight="1" x14ac:dyDescent="0.15">
      <c r="L371" s="8"/>
      <c r="M371" s="8"/>
    </row>
    <row r="372" spans="12:13" ht="15.75" customHeight="1" x14ac:dyDescent="0.15">
      <c r="L372" s="8"/>
      <c r="M372" s="8"/>
    </row>
    <row r="373" spans="12:13" ht="15.75" customHeight="1" x14ac:dyDescent="0.15">
      <c r="L373" s="8"/>
      <c r="M373" s="8"/>
    </row>
    <row r="374" spans="12:13" ht="15.75" customHeight="1" x14ac:dyDescent="0.15">
      <c r="L374" s="8"/>
      <c r="M374" s="8"/>
    </row>
    <row r="375" spans="12:13" ht="15.75" customHeight="1" x14ac:dyDescent="0.15">
      <c r="L375" s="8"/>
      <c r="M375" s="8"/>
    </row>
    <row r="376" spans="12:13" ht="15.75" customHeight="1" x14ac:dyDescent="0.15">
      <c r="L376" s="8"/>
      <c r="M376" s="8"/>
    </row>
    <row r="377" spans="12:13" ht="15.75" customHeight="1" x14ac:dyDescent="0.15">
      <c r="L377" s="8"/>
      <c r="M377" s="8"/>
    </row>
    <row r="378" spans="12:13" ht="15.75" customHeight="1" x14ac:dyDescent="0.15">
      <c r="L378" s="8"/>
      <c r="M378" s="8"/>
    </row>
    <row r="379" spans="12:13" ht="15.75" customHeight="1" x14ac:dyDescent="0.15">
      <c r="L379" s="8"/>
      <c r="M379" s="8"/>
    </row>
    <row r="380" spans="12:13" ht="15.75" customHeight="1" x14ac:dyDescent="0.15">
      <c r="L380" s="8"/>
      <c r="M380" s="8"/>
    </row>
    <row r="381" spans="12:13" ht="15.75" customHeight="1" x14ac:dyDescent="0.15">
      <c r="L381" s="8"/>
      <c r="M381" s="8"/>
    </row>
    <row r="382" spans="12:13" ht="15.75" customHeight="1" x14ac:dyDescent="0.15">
      <c r="L382" s="8"/>
      <c r="M382" s="8"/>
    </row>
    <row r="383" spans="12:13" ht="15.75" customHeight="1" x14ac:dyDescent="0.15">
      <c r="L383" s="8"/>
      <c r="M383" s="8"/>
    </row>
    <row r="384" spans="12:13" ht="15.75" customHeight="1" x14ac:dyDescent="0.15">
      <c r="L384" s="8"/>
      <c r="M384" s="8"/>
    </row>
    <row r="385" spans="12:13" ht="15.75" customHeight="1" x14ac:dyDescent="0.15">
      <c r="L385" s="8"/>
      <c r="M385" s="8"/>
    </row>
    <row r="386" spans="12:13" ht="15.75" customHeight="1" x14ac:dyDescent="0.15">
      <c r="L386" s="8"/>
      <c r="M386" s="8"/>
    </row>
    <row r="387" spans="12:13" ht="15.75" customHeight="1" x14ac:dyDescent="0.15">
      <c r="L387" s="8"/>
      <c r="M387" s="8"/>
    </row>
    <row r="388" spans="12:13" ht="15.75" customHeight="1" x14ac:dyDescent="0.15">
      <c r="L388" s="8"/>
      <c r="M388" s="8"/>
    </row>
    <row r="389" spans="12:13" ht="15.75" customHeight="1" x14ac:dyDescent="0.15">
      <c r="L389" s="8"/>
      <c r="M389" s="8"/>
    </row>
    <row r="390" spans="12:13" ht="15.75" customHeight="1" x14ac:dyDescent="0.15">
      <c r="L390" s="8"/>
      <c r="M390" s="8"/>
    </row>
    <row r="391" spans="12:13" ht="15.75" customHeight="1" x14ac:dyDescent="0.15">
      <c r="L391" s="8"/>
      <c r="M391" s="8"/>
    </row>
    <row r="392" spans="12:13" ht="15.75" customHeight="1" x14ac:dyDescent="0.15">
      <c r="L392" s="8"/>
      <c r="M392" s="8"/>
    </row>
    <row r="393" spans="12:13" ht="15.75" customHeight="1" x14ac:dyDescent="0.15">
      <c r="L393" s="8"/>
      <c r="M393" s="8"/>
    </row>
    <row r="394" spans="12:13" ht="15.75" customHeight="1" x14ac:dyDescent="0.15">
      <c r="L394" s="8"/>
      <c r="M394" s="8"/>
    </row>
    <row r="395" spans="12:13" ht="15.75" customHeight="1" x14ac:dyDescent="0.15">
      <c r="L395" s="8"/>
      <c r="M395" s="8"/>
    </row>
    <row r="396" spans="12:13" ht="15.75" customHeight="1" x14ac:dyDescent="0.15">
      <c r="L396" s="8"/>
      <c r="M396" s="8"/>
    </row>
    <row r="397" spans="12:13" ht="15.75" customHeight="1" x14ac:dyDescent="0.15">
      <c r="L397" s="8"/>
      <c r="M397" s="8"/>
    </row>
    <row r="398" spans="12:13" ht="15.75" customHeight="1" x14ac:dyDescent="0.15">
      <c r="L398" s="8"/>
      <c r="M398" s="8"/>
    </row>
    <row r="399" spans="12:13" ht="15.75" customHeight="1" x14ac:dyDescent="0.15">
      <c r="L399" s="8"/>
      <c r="M399" s="8"/>
    </row>
    <row r="400" spans="12:13" ht="15.75" customHeight="1" x14ac:dyDescent="0.15">
      <c r="L400" s="8"/>
      <c r="M400" s="8"/>
    </row>
    <row r="401" spans="12:13" ht="15.75" customHeight="1" x14ac:dyDescent="0.15">
      <c r="L401" s="8"/>
      <c r="M401" s="8"/>
    </row>
    <row r="402" spans="12:13" ht="15.75" customHeight="1" x14ac:dyDescent="0.15">
      <c r="L402" s="8"/>
      <c r="M402" s="8"/>
    </row>
    <row r="403" spans="12:13" ht="15.75" customHeight="1" x14ac:dyDescent="0.15">
      <c r="L403" s="8"/>
      <c r="M403" s="8"/>
    </row>
    <row r="404" spans="12:13" ht="15.75" customHeight="1" x14ac:dyDescent="0.15">
      <c r="L404" s="8"/>
      <c r="M404" s="8"/>
    </row>
    <row r="405" spans="12:13" ht="15.75" customHeight="1" x14ac:dyDescent="0.15">
      <c r="L405" s="8"/>
      <c r="M405" s="8"/>
    </row>
    <row r="406" spans="12:13" ht="15.75" customHeight="1" x14ac:dyDescent="0.15">
      <c r="L406" s="8"/>
      <c r="M406" s="8"/>
    </row>
    <row r="407" spans="12:13" ht="15.75" customHeight="1" x14ac:dyDescent="0.15">
      <c r="L407" s="8"/>
      <c r="M407" s="8"/>
    </row>
    <row r="408" spans="12:13" ht="15.75" customHeight="1" x14ac:dyDescent="0.15">
      <c r="L408" s="8"/>
      <c r="M408" s="8"/>
    </row>
    <row r="409" spans="12:13" ht="15.75" customHeight="1" x14ac:dyDescent="0.15">
      <c r="L409" s="8"/>
      <c r="M409" s="8"/>
    </row>
    <row r="410" spans="12:13" ht="15.75" customHeight="1" x14ac:dyDescent="0.15">
      <c r="L410" s="8"/>
      <c r="M410" s="8"/>
    </row>
    <row r="411" spans="12:13" ht="15.75" customHeight="1" x14ac:dyDescent="0.15">
      <c r="L411" s="8"/>
      <c r="M411" s="8"/>
    </row>
    <row r="412" spans="12:13" ht="15.75" customHeight="1" x14ac:dyDescent="0.15">
      <c r="L412" s="8"/>
      <c r="M412" s="8"/>
    </row>
    <row r="413" spans="12:13" ht="15.75" customHeight="1" x14ac:dyDescent="0.15">
      <c r="L413" s="8"/>
      <c r="M413" s="8"/>
    </row>
    <row r="414" spans="12:13" ht="15.75" customHeight="1" x14ac:dyDescent="0.15">
      <c r="L414" s="8"/>
      <c r="M414" s="8"/>
    </row>
    <row r="415" spans="12:13" ht="15.75" customHeight="1" x14ac:dyDescent="0.15">
      <c r="L415" s="8"/>
      <c r="M415" s="8"/>
    </row>
    <row r="416" spans="12:13" ht="15.75" customHeight="1" x14ac:dyDescent="0.15">
      <c r="L416" s="8"/>
      <c r="M416" s="8"/>
    </row>
    <row r="417" spans="12:13" ht="15.75" customHeight="1" x14ac:dyDescent="0.15">
      <c r="L417" s="8"/>
      <c r="M417" s="8"/>
    </row>
    <row r="418" spans="12:13" ht="15.75" customHeight="1" x14ac:dyDescent="0.15">
      <c r="L418" s="8"/>
      <c r="M418" s="8"/>
    </row>
    <row r="419" spans="12:13" ht="15.75" customHeight="1" x14ac:dyDescent="0.15">
      <c r="L419" s="8"/>
      <c r="M419" s="8"/>
    </row>
    <row r="420" spans="12:13" ht="15.75" customHeight="1" x14ac:dyDescent="0.15">
      <c r="L420" s="8"/>
      <c r="M420" s="8"/>
    </row>
    <row r="421" spans="12:13" ht="15.75" customHeight="1" x14ac:dyDescent="0.15">
      <c r="L421" s="8"/>
      <c r="M421" s="8"/>
    </row>
    <row r="422" spans="12:13" ht="15.75" customHeight="1" x14ac:dyDescent="0.15">
      <c r="L422" s="8"/>
      <c r="M422" s="8"/>
    </row>
    <row r="423" spans="12:13" ht="15.75" customHeight="1" x14ac:dyDescent="0.15">
      <c r="L423" s="8"/>
      <c r="M423" s="8"/>
    </row>
    <row r="424" spans="12:13" ht="15.75" customHeight="1" x14ac:dyDescent="0.15">
      <c r="L424" s="8"/>
      <c r="M424" s="8"/>
    </row>
    <row r="425" spans="12:13" ht="15.75" customHeight="1" x14ac:dyDescent="0.15">
      <c r="L425" s="8"/>
      <c r="M425" s="8"/>
    </row>
    <row r="426" spans="12:13" ht="15.75" customHeight="1" x14ac:dyDescent="0.15">
      <c r="L426" s="8"/>
      <c r="M426" s="8"/>
    </row>
    <row r="427" spans="12:13" ht="15.75" customHeight="1" x14ac:dyDescent="0.15">
      <c r="L427" s="8"/>
      <c r="M427" s="8"/>
    </row>
    <row r="428" spans="12:13" ht="15.75" customHeight="1" x14ac:dyDescent="0.15">
      <c r="L428" s="8"/>
      <c r="M428" s="8"/>
    </row>
    <row r="429" spans="12:13" ht="15.75" customHeight="1" x14ac:dyDescent="0.15">
      <c r="L429" s="8"/>
      <c r="M429" s="8"/>
    </row>
    <row r="430" spans="12:13" ht="15.75" customHeight="1" x14ac:dyDescent="0.15">
      <c r="L430" s="8"/>
      <c r="M430" s="8"/>
    </row>
    <row r="431" spans="12:13" ht="15.75" customHeight="1" x14ac:dyDescent="0.15">
      <c r="L431" s="8"/>
      <c r="M431" s="8"/>
    </row>
    <row r="432" spans="12:13" ht="15.75" customHeight="1" x14ac:dyDescent="0.15">
      <c r="L432" s="8"/>
      <c r="M432" s="8"/>
    </row>
    <row r="433" spans="12:13" ht="15.75" customHeight="1" x14ac:dyDescent="0.15">
      <c r="L433" s="8"/>
      <c r="M433" s="8"/>
    </row>
    <row r="434" spans="12:13" ht="15.75" customHeight="1" x14ac:dyDescent="0.15">
      <c r="L434" s="8"/>
      <c r="M434" s="8"/>
    </row>
    <row r="435" spans="12:13" ht="15.75" customHeight="1" x14ac:dyDescent="0.15">
      <c r="L435" s="8"/>
      <c r="M435" s="8"/>
    </row>
    <row r="436" spans="12:13" ht="15.75" customHeight="1" x14ac:dyDescent="0.15">
      <c r="L436" s="8"/>
      <c r="M436" s="8"/>
    </row>
    <row r="437" spans="12:13" ht="15.75" customHeight="1" x14ac:dyDescent="0.15">
      <c r="L437" s="8"/>
      <c r="M437" s="8"/>
    </row>
    <row r="438" spans="12:13" ht="15.75" customHeight="1" x14ac:dyDescent="0.15">
      <c r="L438" s="8"/>
      <c r="M438" s="8"/>
    </row>
    <row r="439" spans="12:13" ht="15.75" customHeight="1" x14ac:dyDescent="0.15">
      <c r="L439" s="8"/>
      <c r="M439" s="8"/>
    </row>
    <row r="440" spans="12:13" ht="15.75" customHeight="1" x14ac:dyDescent="0.15">
      <c r="L440" s="8"/>
      <c r="M440" s="8"/>
    </row>
    <row r="441" spans="12:13" ht="15.75" customHeight="1" x14ac:dyDescent="0.15">
      <c r="L441" s="8"/>
      <c r="M441" s="8"/>
    </row>
    <row r="442" spans="12:13" ht="15.75" customHeight="1" x14ac:dyDescent="0.15">
      <c r="L442" s="8"/>
      <c r="M442" s="8"/>
    </row>
    <row r="443" spans="12:13" ht="15.75" customHeight="1" x14ac:dyDescent="0.15">
      <c r="L443" s="8"/>
      <c r="M443" s="8"/>
    </row>
    <row r="444" spans="12:13" ht="15.75" customHeight="1" x14ac:dyDescent="0.15">
      <c r="L444" s="8"/>
      <c r="M444" s="8"/>
    </row>
    <row r="445" spans="12:13" ht="15.75" customHeight="1" x14ac:dyDescent="0.15">
      <c r="L445" s="8"/>
      <c r="M445" s="8"/>
    </row>
    <row r="446" spans="12:13" ht="15.75" customHeight="1" x14ac:dyDescent="0.15">
      <c r="L446" s="8"/>
      <c r="M446" s="8"/>
    </row>
    <row r="447" spans="12:13" ht="15.75" customHeight="1" x14ac:dyDescent="0.15">
      <c r="L447" s="8"/>
      <c r="M447" s="8"/>
    </row>
    <row r="448" spans="12:13" ht="15.75" customHeight="1" x14ac:dyDescent="0.15">
      <c r="L448" s="8"/>
      <c r="M448" s="8"/>
    </row>
    <row r="449" spans="12:13" ht="15.75" customHeight="1" x14ac:dyDescent="0.15">
      <c r="L449" s="8"/>
      <c r="M449" s="8"/>
    </row>
    <row r="450" spans="12:13" ht="15.75" customHeight="1" x14ac:dyDescent="0.15">
      <c r="L450" s="8"/>
      <c r="M450" s="8"/>
    </row>
    <row r="451" spans="12:13" ht="15.75" customHeight="1" x14ac:dyDescent="0.15">
      <c r="L451" s="8"/>
      <c r="M451" s="8"/>
    </row>
    <row r="452" spans="12:13" ht="15.75" customHeight="1" x14ac:dyDescent="0.15">
      <c r="L452" s="8"/>
      <c r="M452" s="8"/>
    </row>
    <row r="453" spans="12:13" ht="15.75" customHeight="1" x14ac:dyDescent="0.15">
      <c r="L453" s="8"/>
      <c r="M453" s="8"/>
    </row>
    <row r="454" spans="12:13" ht="15.75" customHeight="1" x14ac:dyDescent="0.15">
      <c r="L454" s="8"/>
      <c r="M454" s="8"/>
    </row>
    <row r="455" spans="12:13" ht="15.75" customHeight="1" x14ac:dyDescent="0.15">
      <c r="L455" s="8"/>
      <c r="M455" s="8"/>
    </row>
    <row r="456" spans="12:13" ht="15.75" customHeight="1" x14ac:dyDescent="0.15">
      <c r="L456" s="8"/>
      <c r="M456" s="8"/>
    </row>
    <row r="457" spans="12:13" ht="15.75" customHeight="1" x14ac:dyDescent="0.15">
      <c r="L457" s="8"/>
      <c r="M457" s="8"/>
    </row>
    <row r="458" spans="12:13" ht="15.75" customHeight="1" x14ac:dyDescent="0.15">
      <c r="L458" s="8"/>
      <c r="M458" s="8"/>
    </row>
    <row r="459" spans="12:13" ht="15.75" customHeight="1" x14ac:dyDescent="0.15">
      <c r="L459" s="8"/>
      <c r="M459" s="8"/>
    </row>
    <row r="460" spans="12:13" ht="15.75" customHeight="1" x14ac:dyDescent="0.15">
      <c r="L460" s="8"/>
      <c r="M460" s="8"/>
    </row>
    <row r="461" spans="12:13" ht="15.75" customHeight="1" x14ac:dyDescent="0.15">
      <c r="L461" s="8"/>
      <c r="M461" s="8"/>
    </row>
    <row r="462" spans="12:13" ht="15.75" customHeight="1" x14ac:dyDescent="0.15">
      <c r="L462" s="8"/>
      <c r="M462" s="8"/>
    </row>
    <row r="463" spans="12:13" ht="15.75" customHeight="1" x14ac:dyDescent="0.15">
      <c r="L463" s="8"/>
      <c r="M463" s="8"/>
    </row>
    <row r="464" spans="12:13" ht="15.75" customHeight="1" x14ac:dyDescent="0.15">
      <c r="L464" s="8"/>
      <c r="M464" s="8"/>
    </row>
    <row r="465" spans="12:13" ht="15.75" customHeight="1" x14ac:dyDescent="0.15">
      <c r="L465" s="8"/>
      <c r="M465" s="8"/>
    </row>
    <row r="466" spans="12:13" ht="15.75" customHeight="1" x14ac:dyDescent="0.15">
      <c r="L466" s="8"/>
      <c r="M466" s="8"/>
    </row>
    <row r="467" spans="12:13" ht="15.75" customHeight="1" x14ac:dyDescent="0.15">
      <c r="L467" s="8"/>
      <c r="M467" s="8"/>
    </row>
    <row r="468" spans="12:13" ht="15.75" customHeight="1" x14ac:dyDescent="0.15">
      <c r="L468" s="8"/>
      <c r="M468" s="8"/>
    </row>
    <row r="469" spans="12:13" ht="15.75" customHeight="1" x14ac:dyDescent="0.15">
      <c r="L469" s="8"/>
      <c r="M469" s="8"/>
    </row>
    <row r="470" spans="12:13" ht="15.75" customHeight="1" x14ac:dyDescent="0.15">
      <c r="L470" s="8"/>
      <c r="M470" s="8"/>
    </row>
    <row r="471" spans="12:13" ht="15.75" customHeight="1" x14ac:dyDescent="0.15">
      <c r="L471" s="8"/>
      <c r="M471" s="8"/>
    </row>
    <row r="472" spans="12:13" ht="15.75" customHeight="1" x14ac:dyDescent="0.15">
      <c r="L472" s="8"/>
      <c r="M472" s="8"/>
    </row>
    <row r="473" spans="12:13" ht="15.75" customHeight="1" x14ac:dyDescent="0.15">
      <c r="L473" s="8"/>
      <c r="M473" s="8"/>
    </row>
    <row r="474" spans="12:13" ht="15.75" customHeight="1" x14ac:dyDescent="0.15">
      <c r="L474" s="8"/>
      <c r="M474" s="8"/>
    </row>
    <row r="475" spans="12:13" ht="15.75" customHeight="1" x14ac:dyDescent="0.15">
      <c r="L475" s="8"/>
      <c r="M475" s="8"/>
    </row>
    <row r="476" spans="12:13" ht="15.75" customHeight="1" x14ac:dyDescent="0.15">
      <c r="L476" s="8"/>
      <c r="M476" s="8"/>
    </row>
    <row r="477" spans="12:13" ht="15.75" customHeight="1" x14ac:dyDescent="0.15">
      <c r="L477" s="8"/>
      <c r="M477" s="8"/>
    </row>
    <row r="478" spans="12:13" ht="15.75" customHeight="1" x14ac:dyDescent="0.15">
      <c r="L478" s="8"/>
      <c r="M478" s="8"/>
    </row>
    <row r="479" spans="12:13" ht="15.75" customHeight="1" x14ac:dyDescent="0.15">
      <c r="L479" s="8"/>
      <c r="M479" s="8"/>
    </row>
    <row r="480" spans="12:13" ht="15.75" customHeight="1" x14ac:dyDescent="0.15">
      <c r="L480" s="8"/>
      <c r="M480" s="8"/>
    </row>
    <row r="481" spans="12:13" ht="15.75" customHeight="1" x14ac:dyDescent="0.15">
      <c r="L481" s="8"/>
      <c r="M481" s="8"/>
    </row>
    <row r="482" spans="12:13" ht="15.75" customHeight="1" x14ac:dyDescent="0.15">
      <c r="L482" s="8"/>
      <c r="M482" s="8"/>
    </row>
    <row r="483" spans="12:13" ht="15.75" customHeight="1" x14ac:dyDescent="0.15">
      <c r="L483" s="8"/>
      <c r="M483" s="8"/>
    </row>
    <row r="484" spans="12:13" ht="15.75" customHeight="1" x14ac:dyDescent="0.15">
      <c r="L484" s="8"/>
      <c r="M484" s="8"/>
    </row>
    <row r="485" spans="12:13" ht="15.75" customHeight="1" x14ac:dyDescent="0.15">
      <c r="L485" s="8"/>
      <c r="M485" s="8"/>
    </row>
    <row r="486" spans="12:13" ht="15.75" customHeight="1" x14ac:dyDescent="0.15">
      <c r="L486" s="8"/>
      <c r="M486" s="8"/>
    </row>
    <row r="487" spans="12:13" ht="15.75" customHeight="1" x14ac:dyDescent="0.15">
      <c r="L487" s="8"/>
      <c r="M487" s="8"/>
    </row>
    <row r="488" spans="12:13" ht="15.75" customHeight="1" x14ac:dyDescent="0.15">
      <c r="L488" s="8"/>
      <c r="M488" s="8"/>
    </row>
    <row r="489" spans="12:13" ht="15.75" customHeight="1" x14ac:dyDescent="0.15">
      <c r="L489" s="8"/>
      <c r="M489" s="8"/>
    </row>
    <row r="490" spans="12:13" ht="15.75" customHeight="1" x14ac:dyDescent="0.15">
      <c r="L490" s="8"/>
      <c r="M490" s="8"/>
    </row>
    <row r="491" spans="12:13" ht="15.75" customHeight="1" x14ac:dyDescent="0.15">
      <c r="L491" s="8"/>
      <c r="M491" s="8"/>
    </row>
    <row r="492" spans="12:13" ht="15.75" customHeight="1" x14ac:dyDescent="0.15">
      <c r="L492" s="8"/>
      <c r="M492" s="8"/>
    </row>
    <row r="493" spans="12:13" ht="15.75" customHeight="1" x14ac:dyDescent="0.15">
      <c r="L493" s="8"/>
      <c r="M493" s="8"/>
    </row>
    <row r="494" spans="12:13" ht="15.75" customHeight="1" x14ac:dyDescent="0.15">
      <c r="L494" s="8"/>
      <c r="M494" s="8"/>
    </row>
    <row r="495" spans="12:13" ht="15.75" customHeight="1" x14ac:dyDescent="0.15">
      <c r="L495" s="8"/>
      <c r="M495" s="8"/>
    </row>
    <row r="496" spans="12:13" ht="15.75" customHeight="1" x14ac:dyDescent="0.15">
      <c r="L496" s="8"/>
      <c r="M496" s="8"/>
    </row>
    <row r="497" spans="12:13" ht="15.75" customHeight="1" x14ac:dyDescent="0.15">
      <c r="L497" s="8"/>
      <c r="M497" s="8"/>
    </row>
    <row r="498" spans="12:13" ht="15.75" customHeight="1" x14ac:dyDescent="0.15">
      <c r="L498" s="8"/>
      <c r="M498" s="8"/>
    </row>
    <row r="499" spans="12:13" ht="15.75" customHeight="1" x14ac:dyDescent="0.15">
      <c r="L499" s="8"/>
      <c r="M499" s="8"/>
    </row>
    <row r="500" spans="12:13" ht="15.75" customHeight="1" x14ac:dyDescent="0.15">
      <c r="L500" s="8"/>
      <c r="M500" s="8"/>
    </row>
    <row r="501" spans="12:13" ht="15.75" customHeight="1" x14ac:dyDescent="0.15">
      <c r="L501" s="8"/>
      <c r="M501" s="8"/>
    </row>
    <row r="502" spans="12:13" ht="15.75" customHeight="1" x14ac:dyDescent="0.15">
      <c r="L502" s="8"/>
      <c r="M502" s="8"/>
    </row>
    <row r="503" spans="12:13" ht="15.75" customHeight="1" x14ac:dyDescent="0.15">
      <c r="L503" s="8"/>
      <c r="M503" s="8"/>
    </row>
    <row r="504" spans="12:13" ht="15.75" customHeight="1" x14ac:dyDescent="0.15">
      <c r="L504" s="8"/>
      <c r="M504" s="8"/>
    </row>
    <row r="505" spans="12:13" ht="15.75" customHeight="1" x14ac:dyDescent="0.15">
      <c r="L505" s="8"/>
      <c r="M505" s="8"/>
    </row>
    <row r="506" spans="12:13" ht="15.75" customHeight="1" x14ac:dyDescent="0.15">
      <c r="L506" s="8"/>
      <c r="M506" s="8"/>
    </row>
    <row r="507" spans="12:13" ht="15.75" customHeight="1" x14ac:dyDescent="0.15">
      <c r="L507" s="8"/>
      <c r="M507" s="8"/>
    </row>
    <row r="508" spans="12:13" ht="15.75" customHeight="1" x14ac:dyDescent="0.15">
      <c r="L508" s="8"/>
      <c r="M508" s="8"/>
    </row>
    <row r="509" spans="12:13" ht="15.75" customHeight="1" x14ac:dyDescent="0.15">
      <c r="L509" s="8"/>
      <c r="M509" s="8"/>
    </row>
    <row r="510" spans="12:13" ht="15.75" customHeight="1" x14ac:dyDescent="0.15">
      <c r="L510" s="8"/>
      <c r="M510" s="8"/>
    </row>
    <row r="511" spans="12:13" ht="15.75" customHeight="1" x14ac:dyDescent="0.15">
      <c r="L511" s="8"/>
      <c r="M511" s="8"/>
    </row>
    <row r="512" spans="12:13" ht="15.75" customHeight="1" x14ac:dyDescent="0.15">
      <c r="L512" s="8"/>
      <c r="M512" s="8"/>
    </row>
    <row r="513" spans="12:13" ht="15.75" customHeight="1" x14ac:dyDescent="0.15">
      <c r="L513" s="8"/>
      <c r="M513" s="8"/>
    </row>
    <row r="514" spans="12:13" ht="15.75" customHeight="1" x14ac:dyDescent="0.15">
      <c r="L514" s="8"/>
      <c r="M514" s="8"/>
    </row>
    <row r="515" spans="12:13" ht="15.75" customHeight="1" x14ac:dyDescent="0.15">
      <c r="L515" s="8"/>
      <c r="M515" s="8"/>
    </row>
    <row r="516" spans="12:13" ht="15.75" customHeight="1" x14ac:dyDescent="0.15">
      <c r="L516" s="8"/>
      <c r="M516" s="8"/>
    </row>
    <row r="517" spans="12:13" ht="15.75" customHeight="1" x14ac:dyDescent="0.15">
      <c r="L517" s="8"/>
      <c r="M517" s="8"/>
    </row>
    <row r="518" spans="12:13" ht="15.75" customHeight="1" x14ac:dyDescent="0.15">
      <c r="L518" s="8"/>
      <c r="M518" s="8"/>
    </row>
    <row r="519" spans="12:13" ht="15.75" customHeight="1" x14ac:dyDescent="0.15">
      <c r="L519" s="8"/>
      <c r="M519" s="8"/>
    </row>
    <row r="520" spans="12:13" ht="15.75" customHeight="1" x14ac:dyDescent="0.15">
      <c r="L520" s="8"/>
      <c r="M520" s="8"/>
    </row>
    <row r="521" spans="12:13" ht="15.75" customHeight="1" x14ac:dyDescent="0.15">
      <c r="L521" s="8"/>
      <c r="M521" s="8"/>
    </row>
    <row r="522" spans="12:13" ht="15.75" customHeight="1" x14ac:dyDescent="0.15">
      <c r="L522" s="8"/>
      <c r="M522" s="8"/>
    </row>
    <row r="523" spans="12:13" ht="15.75" customHeight="1" x14ac:dyDescent="0.15">
      <c r="L523" s="8"/>
      <c r="M523" s="8"/>
    </row>
    <row r="524" spans="12:13" ht="15.75" customHeight="1" x14ac:dyDescent="0.15">
      <c r="L524" s="8"/>
      <c r="M524" s="8"/>
    </row>
    <row r="525" spans="12:13" ht="15.75" customHeight="1" x14ac:dyDescent="0.15">
      <c r="L525" s="8"/>
      <c r="M525" s="8"/>
    </row>
    <row r="526" spans="12:13" ht="15.75" customHeight="1" x14ac:dyDescent="0.15">
      <c r="L526" s="8"/>
      <c r="M526" s="8"/>
    </row>
    <row r="527" spans="12:13" ht="15.75" customHeight="1" x14ac:dyDescent="0.15">
      <c r="L527" s="8"/>
      <c r="M527" s="8"/>
    </row>
    <row r="528" spans="12:13" ht="15.75" customHeight="1" x14ac:dyDescent="0.15">
      <c r="L528" s="8"/>
      <c r="M528" s="8"/>
    </row>
    <row r="529" spans="12:13" ht="15.75" customHeight="1" x14ac:dyDescent="0.15">
      <c r="L529" s="8"/>
      <c r="M529" s="8"/>
    </row>
    <row r="530" spans="12:13" ht="15.75" customHeight="1" x14ac:dyDescent="0.15">
      <c r="L530" s="8"/>
      <c r="M530" s="8"/>
    </row>
    <row r="531" spans="12:13" ht="15.75" customHeight="1" x14ac:dyDescent="0.15">
      <c r="L531" s="8"/>
      <c r="M531" s="8"/>
    </row>
    <row r="532" spans="12:13" ht="15.75" customHeight="1" x14ac:dyDescent="0.15">
      <c r="L532" s="8"/>
      <c r="M532" s="8"/>
    </row>
    <row r="533" spans="12:13" ht="15.75" customHeight="1" x14ac:dyDescent="0.15">
      <c r="L533" s="8"/>
      <c r="M533" s="8"/>
    </row>
    <row r="534" spans="12:13" ht="15.75" customHeight="1" x14ac:dyDescent="0.15">
      <c r="L534" s="8"/>
      <c r="M534" s="8"/>
    </row>
    <row r="535" spans="12:13" ht="15.75" customHeight="1" x14ac:dyDescent="0.15">
      <c r="L535" s="8"/>
      <c r="M535" s="8"/>
    </row>
    <row r="536" spans="12:13" ht="15.75" customHeight="1" x14ac:dyDescent="0.15">
      <c r="L536" s="8"/>
      <c r="M536" s="8"/>
    </row>
    <row r="537" spans="12:13" ht="15.75" customHeight="1" x14ac:dyDescent="0.15">
      <c r="L537" s="8"/>
      <c r="M537" s="8"/>
    </row>
    <row r="538" spans="12:13" ht="15.75" customHeight="1" x14ac:dyDescent="0.15">
      <c r="L538" s="8"/>
      <c r="M538" s="8"/>
    </row>
    <row r="539" spans="12:13" ht="15.75" customHeight="1" x14ac:dyDescent="0.15">
      <c r="L539" s="8"/>
      <c r="M539" s="8"/>
    </row>
    <row r="540" spans="12:13" ht="15.75" customHeight="1" x14ac:dyDescent="0.15">
      <c r="L540" s="8"/>
      <c r="M540" s="8"/>
    </row>
    <row r="541" spans="12:13" ht="15.75" customHeight="1" x14ac:dyDescent="0.15">
      <c r="L541" s="8"/>
      <c r="M541" s="8"/>
    </row>
    <row r="542" spans="12:13" ht="15.75" customHeight="1" x14ac:dyDescent="0.15">
      <c r="L542" s="8"/>
      <c r="M542" s="8"/>
    </row>
    <row r="543" spans="12:13" ht="15.75" customHeight="1" x14ac:dyDescent="0.15">
      <c r="L543" s="8"/>
      <c r="M543" s="8"/>
    </row>
    <row r="544" spans="12:13" ht="15.75" customHeight="1" x14ac:dyDescent="0.15">
      <c r="L544" s="8"/>
      <c r="M544" s="8"/>
    </row>
    <row r="545" spans="12:13" ht="15.75" customHeight="1" x14ac:dyDescent="0.15">
      <c r="L545" s="8"/>
      <c r="M545" s="8"/>
    </row>
    <row r="546" spans="12:13" ht="15.75" customHeight="1" x14ac:dyDescent="0.15">
      <c r="L546" s="8"/>
      <c r="M546" s="8"/>
    </row>
    <row r="547" spans="12:13" ht="15.75" customHeight="1" x14ac:dyDescent="0.15">
      <c r="L547" s="8"/>
      <c r="M547" s="8"/>
    </row>
    <row r="548" spans="12:13" ht="15.75" customHeight="1" x14ac:dyDescent="0.15">
      <c r="L548" s="8"/>
      <c r="M548" s="8"/>
    </row>
    <row r="549" spans="12:13" ht="15.75" customHeight="1" x14ac:dyDescent="0.15">
      <c r="L549" s="8"/>
      <c r="M549" s="8"/>
    </row>
    <row r="550" spans="12:13" ht="15.75" customHeight="1" x14ac:dyDescent="0.15">
      <c r="L550" s="8"/>
      <c r="M550" s="8"/>
    </row>
    <row r="551" spans="12:13" ht="15.75" customHeight="1" x14ac:dyDescent="0.15">
      <c r="L551" s="8"/>
      <c r="M551" s="8"/>
    </row>
    <row r="552" spans="12:13" ht="15.75" customHeight="1" x14ac:dyDescent="0.15">
      <c r="L552" s="8"/>
      <c r="M552" s="8"/>
    </row>
    <row r="553" spans="12:13" ht="15.75" customHeight="1" x14ac:dyDescent="0.15">
      <c r="L553" s="8"/>
      <c r="M553" s="8"/>
    </row>
    <row r="554" spans="12:13" ht="15.75" customHeight="1" x14ac:dyDescent="0.15">
      <c r="L554" s="8"/>
      <c r="M554" s="8"/>
    </row>
    <row r="555" spans="12:13" ht="15.75" customHeight="1" x14ac:dyDescent="0.15">
      <c r="L555" s="8"/>
      <c r="M555" s="8"/>
    </row>
    <row r="556" spans="12:13" ht="15.75" customHeight="1" x14ac:dyDescent="0.15">
      <c r="L556" s="8"/>
      <c r="M556" s="8"/>
    </row>
    <row r="557" spans="12:13" ht="15.75" customHeight="1" x14ac:dyDescent="0.15">
      <c r="L557" s="8"/>
      <c r="M557" s="8"/>
    </row>
    <row r="558" spans="12:13" ht="15.75" customHeight="1" x14ac:dyDescent="0.15">
      <c r="L558" s="8"/>
      <c r="M558" s="8"/>
    </row>
    <row r="559" spans="12:13" ht="15.75" customHeight="1" x14ac:dyDescent="0.15">
      <c r="L559" s="8"/>
      <c r="M559" s="8"/>
    </row>
    <row r="560" spans="12:13" ht="15.75" customHeight="1" x14ac:dyDescent="0.15">
      <c r="L560" s="8"/>
      <c r="M560" s="8"/>
    </row>
    <row r="561" spans="12:13" ht="15.75" customHeight="1" x14ac:dyDescent="0.15">
      <c r="L561" s="8"/>
      <c r="M561" s="8"/>
    </row>
    <row r="562" spans="12:13" ht="15.75" customHeight="1" x14ac:dyDescent="0.15">
      <c r="L562" s="8"/>
      <c r="M562" s="8"/>
    </row>
    <row r="563" spans="12:13" ht="15.75" customHeight="1" x14ac:dyDescent="0.15">
      <c r="L563" s="8"/>
      <c r="M563" s="8"/>
    </row>
    <row r="564" spans="12:13" ht="15.75" customHeight="1" x14ac:dyDescent="0.15">
      <c r="L564" s="8"/>
      <c r="M564" s="8"/>
    </row>
    <row r="565" spans="12:13" ht="15.75" customHeight="1" x14ac:dyDescent="0.15">
      <c r="L565" s="8"/>
      <c r="M565" s="8"/>
    </row>
    <row r="566" spans="12:13" ht="15.75" customHeight="1" x14ac:dyDescent="0.15">
      <c r="L566" s="8"/>
      <c r="M566" s="8"/>
    </row>
    <row r="567" spans="12:13" ht="15.75" customHeight="1" x14ac:dyDescent="0.15">
      <c r="L567" s="8"/>
      <c r="M567" s="8"/>
    </row>
    <row r="568" spans="12:13" ht="15.75" customHeight="1" x14ac:dyDescent="0.15">
      <c r="L568" s="8"/>
      <c r="M568" s="8"/>
    </row>
    <row r="569" spans="12:13" ht="15.75" customHeight="1" x14ac:dyDescent="0.15">
      <c r="L569" s="8"/>
      <c r="M569" s="8"/>
    </row>
    <row r="570" spans="12:13" ht="15.75" customHeight="1" x14ac:dyDescent="0.15">
      <c r="L570" s="8"/>
      <c r="M570" s="8"/>
    </row>
    <row r="571" spans="12:13" ht="15.75" customHeight="1" x14ac:dyDescent="0.15">
      <c r="L571" s="8"/>
      <c r="M571" s="8"/>
    </row>
    <row r="572" spans="12:13" ht="15.75" customHeight="1" x14ac:dyDescent="0.15">
      <c r="L572" s="8"/>
      <c r="M572" s="8"/>
    </row>
    <row r="573" spans="12:13" ht="15.75" customHeight="1" x14ac:dyDescent="0.15">
      <c r="L573" s="8"/>
      <c r="M573" s="8"/>
    </row>
    <row r="574" spans="12:13" ht="15.75" customHeight="1" x14ac:dyDescent="0.15">
      <c r="L574" s="8"/>
      <c r="M574" s="8"/>
    </row>
    <row r="575" spans="12:13" ht="15.75" customHeight="1" x14ac:dyDescent="0.15">
      <c r="L575" s="8"/>
      <c r="M575" s="8"/>
    </row>
    <row r="576" spans="12:13" ht="15.75" customHeight="1" x14ac:dyDescent="0.15">
      <c r="L576" s="8"/>
      <c r="M576" s="8"/>
    </row>
    <row r="577" spans="12:13" ht="15.75" customHeight="1" x14ac:dyDescent="0.15">
      <c r="L577" s="8"/>
      <c r="M577" s="8"/>
    </row>
    <row r="578" spans="12:13" ht="15.75" customHeight="1" x14ac:dyDescent="0.15">
      <c r="L578" s="8"/>
      <c r="M578" s="8"/>
    </row>
    <row r="579" spans="12:13" ht="15.75" customHeight="1" x14ac:dyDescent="0.15">
      <c r="L579" s="8"/>
      <c r="M579" s="8"/>
    </row>
    <row r="580" spans="12:13" ht="15.75" customHeight="1" x14ac:dyDescent="0.15">
      <c r="L580" s="8"/>
      <c r="M580" s="8"/>
    </row>
    <row r="581" spans="12:13" ht="15.75" customHeight="1" x14ac:dyDescent="0.15">
      <c r="L581" s="8"/>
      <c r="M581" s="8"/>
    </row>
    <row r="582" spans="12:13" ht="15.75" customHeight="1" x14ac:dyDescent="0.15">
      <c r="L582" s="8"/>
      <c r="M582" s="8"/>
    </row>
    <row r="583" spans="12:13" ht="15.75" customHeight="1" x14ac:dyDescent="0.15">
      <c r="L583" s="8"/>
      <c r="M583" s="8"/>
    </row>
    <row r="584" spans="12:13" ht="15.75" customHeight="1" x14ac:dyDescent="0.15">
      <c r="L584" s="8"/>
      <c r="M584" s="8"/>
    </row>
    <row r="585" spans="12:13" ht="15.75" customHeight="1" x14ac:dyDescent="0.15">
      <c r="L585" s="8"/>
      <c r="M585" s="8"/>
    </row>
    <row r="586" spans="12:13" ht="15.75" customHeight="1" x14ac:dyDescent="0.15">
      <c r="L586" s="8"/>
      <c r="M586" s="8"/>
    </row>
    <row r="587" spans="12:13" ht="15.75" customHeight="1" x14ac:dyDescent="0.15">
      <c r="L587" s="8"/>
      <c r="M587" s="8"/>
    </row>
    <row r="588" spans="12:13" ht="15.75" customHeight="1" x14ac:dyDescent="0.15">
      <c r="L588" s="8"/>
      <c r="M588" s="8"/>
    </row>
    <row r="589" spans="12:13" ht="15.75" customHeight="1" x14ac:dyDescent="0.15">
      <c r="L589" s="8"/>
      <c r="M589" s="8"/>
    </row>
    <row r="590" spans="12:13" ht="15.75" customHeight="1" x14ac:dyDescent="0.15">
      <c r="L590" s="8"/>
      <c r="M590" s="8"/>
    </row>
    <row r="591" spans="12:13" ht="15.75" customHeight="1" x14ac:dyDescent="0.15">
      <c r="L591" s="8"/>
      <c r="M591" s="8"/>
    </row>
    <row r="592" spans="12:13" ht="15.75" customHeight="1" x14ac:dyDescent="0.15">
      <c r="L592" s="8"/>
      <c r="M592" s="8"/>
    </row>
    <row r="593" spans="12:13" ht="15.75" customHeight="1" x14ac:dyDescent="0.15">
      <c r="L593" s="8"/>
      <c r="M593" s="8"/>
    </row>
    <row r="594" spans="12:13" ht="15.75" customHeight="1" x14ac:dyDescent="0.15">
      <c r="L594" s="8"/>
      <c r="M594" s="8"/>
    </row>
    <row r="595" spans="12:13" ht="15.75" customHeight="1" x14ac:dyDescent="0.15">
      <c r="L595" s="8"/>
      <c r="M595" s="8"/>
    </row>
    <row r="596" spans="12:13" ht="15.75" customHeight="1" x14ac:dyDescent="0.15">
      <c r="L596" s="8"/>
      <c r="M596" s="8"/>
    </row>
    <row r="597" spans="12:13" ht="15.75" customHeight="1" x14ac:dyDescent="0.15">
      <c r="L597" s="8"/>
      <c r="M597" s="8"/>
    </row>
    <row r="598" spans="12:13" ht="15.75" customHeight="1" x14ac:dyDescent="0.15">
      <c r="L598" s="8"/>
      <c r="M598" s="8"/>
    </row>
    <row r="599" spans="12:13" ht="15.75" customHeight="1" x14ac:dyDescent="0.15">
      <c r="L599" s="8"/>
      <c r="M599" s="8"/>
    </row>
    <row r="600" spans="12:13" ht="15.75" customHeight="1" x14ac:dyDescent="0.15">
      <c r="L600" s="8"/>
      <c r="M600" s="8"/>
    </row>
    <row r="601" spans="12:13" ht="15.75" customHeight="1" x14ac:dyDescent="0.15">
      <c r="L601" s="8"/>
      <c r="M601" s="8"/>
    </row>
    <row r="602" spans="12:13" ht="15.75" customHeight="1" x14ac:dyDescent="0.15">
      <c r="L602" s="8"/>
      <c r="M602" s="8"/>
    </row>
    <row r="603" spans="12:13" ht="15.75" customHeight="1" x14ac:dyDescent="0.15">
      <c r="L603" s="8"/>
      <c r="M603" s="8"/>
    </row>
    <row r="604" spans="12:13" ht="15.75" customHeight="1" x14ac:dyDescent="0.15">
      <c r="L604" s="8"/>
      <c r="M604" s="8"/>
    </row>
    <row r="605" spans="12:13" ht="15.75" customHeight="1" x14ac:dyDescent="0.15">
      <c r="L605" s="8"/>
      <c r="M605" s="8"/>
    </row>
    <row r="606" spans="12:13" ht="15.75" customHeight="1" x14ac:dyDescent="0.15">
      <c r="L606" s="8"/>
      <c r="M606" s="8"/>
    </row>
    <row r="607" spans="12:13" ht="15.75" customHeight="1" x14ac:dyDescent="0.15">
      <c r="L607" s="8"/>
      <c r="M607" s="8"/>
    </row>
    <row r="608" spans="12:13" ht="15.75" customHeight="1" x14ac:dyDescent="0.15">
      <c r="L608" s="8"/>
      <c r="M608" s="8"/>
    </row>
    <row r="609" spans="12:13" ht="15.75" customHeight="1" x14ac:dyDescent="0.15">
      <c r="L609" s="8"/>
      <c r="M609" s="8"/>
    </row>
    <row r="610" spans="12:13" ht="15.75" customHeight="1" x14ac:dyDescent="0.15">
      <c r="L610" s="8"/>
      <c r="M610" s="8"/>
    </row>
    <row r="611" spans="12:13" ht="15.75" customHeight="1" x14ac:dyDescent="0.15">
      <c r="L611" s="8"/>
      <c r="M611" s="8"/>
    </row>
    <row r="612" spans="12:13" ht="15.75" customHeight="1" x14ac:dyDescent="0.15">
      <c r="L612" s="8"/>
      <c r="M612" s="8"/>
    </row>
    <row r="613" spans="12:13" ht="15.75" customHeight="1" x14ac:dyDescent="0.15">
      <c r="L613" s="8"/>
      <c r="M613" s="8"/>
    </row>
    <row r="614" spans="12:13" ht="15.75" customHeight="1" x14ac:dyDescent="0.15">
      <c r="L614" s="8"/>
      <c r="M614" s="8"/>
    </row>
    <row r="615" spans="12:13" ht="15.75" customHeight="1" x14ac:dyDescent="0.15">
      <c r="L615" s="8"/>
      <c r="M615" s="8"/>
    </row>
    <row r="616" spans="12:13" ht="15.75" customHeight="1" x14ac:dyDescent="0.15">
      <c r="L616" s="8"/>
      <c r="M616" s="8"/>
    </row>
    <row r="617" spans="12:13" ht="15.75" customHeight="1" x14ac:dyDescent="0.15">
      <c r="L617" s="8"/>
      <c r="M617" s="8"/>
    </row>
    <row r="618" spans="12:13" ht="15.75" customHeight="1" x14ac:dyDescent="0.15">
      <c r="L618" s="8"/>
      <c r="M618" s="8"/>
    </row>
    <row r="619" spans="12:13" ht="15.75" customHeight="1" x14ac:dyDescent="0.15">
      <c r="L619" s="8"/>
      <c r="M619" s="8"/>
    </row>
    <row r="620" spans="12:13" ht="15.75" customHeight="1" x14ac:dyDescent="0.15">
      <c r="L620" s="8"/>
      <c r="M620" s="8"/>
    </row>
    <row r="621" spans="12:13" ht="15.75" customHeight="1" x14ac:dyDescent="0.15">
      <c r="L621" s="8"/>
      <c r="M621" s="8"/>
    </row>
    <row r="622" spans="12:13" ht="15.75" customHeight="1" x14ac:dyDescent="0.15">
      <c r="L622" s="8"/>
      <c r="M622" s="8"/>
    </row>
    <row r="623" spans="12:13" ht="15.75" customHeight="1" x14ac:dyDescent="0.15">
      <c r="L623" s="8"/>
      <c r="M623" s="8"/>
    </row>
    <row r="624" spans="12:13" ht="15.75" customHeight="1" x14ac:dyDescent="0.15">
      <c r="L624" s="8"/>
      <c r="M624" s="8"/>
    </row>
    <row r="625" spans="12:13" ht="15.75" customHeight="1" x14ac:dyDescent="0.15">
      <c r="L625" s="8"/>
      <c r="M625" s="8"/>
    </row>
    <row r="626" spans="12:13" ht="15.75" customHeight="1" x14ac:dyDescent="0.15">
      <c r="L626" s="8"/>
      <c r="M626" s="8"/>
    </row>
    <row r="627" spans="12:13" ht="15.75" customHeight="1" x14ac:dyDescent="0.15">
      <c r="L627" s="8"/>
      <c r="M627" s="8"/>
    </row>
    <row r="628" spans="12:13" ht="15.75" customHeight="1" x14ac:dyDescent="0.15">
      <c r="L628" s="8"/>
      <c r="M628" s="8"/>
    </row>
    <row r="629" spans="12:13" ht="15.75" customHeight="1" x14ac:dyDescent="0.15">
      <c r="L629" s="8"/>
      <c r="M629" s="8"/>
    </row>
    <row r="630" spans="12:13" ht="15.75" customHeight="1" x14ac:dyDescent="0.15">
      <c r="L630" s="8"/>
      <c r="M630" s="8"/>
    </row>
    <row r="631" spans="12:13" ht="15.75" customHeight="1" x14ac:dyDescent="0.15">
      <c r="L631" s="8"/>
      <c r="M631" s="8"/>
    </row>
    <row r="632" spans="12:13" ht="15.75" customHeight="1" x14ac:dyDescent="0.15">
      <c r="L632" s="8"/>
      <c r="M632" s="8"/>
    </row>
    <row r="633" spans="12:13" ht="15.75" customHeight="1" x14ac:dyDescent="0.15">
      <c r="L633" s="8"/>
      <c r="M633" s="8"/>
    </row>
    <row r="634" spans="12:13" ht="15.75" customHeight="1" x14ac:dyDescent="0.15">
      <c r="L634" s="8"/>
      <c r="M634" s="8"/>
    </row>
    <row r="635" spans="12:13" ht="15.75" customHeight="1" x14ac:dyDescent="0.15">
      <c r="L635" s="8"/>
      <c r="M635" s="8"/>
    </row>
    <row r="636" spans="12:13" ht="15.75" customHeight="1" x14ac:dyDescent="0.15">
      <c r="L636" s="8"/>
      <c r="M636" s="8"/>
    </row>
    <row r="637" spans="12:13" ht="15.75" customHeight="1" x14ac:dyDescent="0.15">
      <c r="L637" s="8"/>
      <c r="M637" s="8"/>
    </row>
    <row r="638" spans="12:13" ht="15.75" customHeight="1" x14ac:dyDescent="0.15">
      <c r="L638" s="8"/>
      <c r="M638" s="8"/>
    </row>
    <row r="639" spans="12:13" ht="15.75" customHeight="1" x14ac:dyDescent="0.15">
      <c r="L639" s="8"/>
      <c r="M639" s="8"/>
    </row>
    <row r="640" spans="12:13" ht="15.75" customHeight="1" x14ac:dyDescent="0.15">
      <c r="L640" s="8"/>
      <c r="M640" s="8"/>
    </row>
    <row r="641" spans="12:13" ht="15.75" customHeight="1" x14ac:dyDescent="0.15">
      <c r="L641" s="8"/>
      <c r="M641" s="8"/>
    </row>
    <row r="642" spans="12:13" ht="15.75" customHeight="1" x14ac:dyDescent="0.15">
      <c r="L642" s="8"/>
      <c r="M642" s="8"/>
    </row>
    <row r="643" spans="12:13" ht="15.75" customHeight="1" x14ac:dyDescent="0.15">
      <c r="L643" s="8"/>
      <c r="M643" s="8"/>
    </row>
    <row r="644" spans="12:13" ht="15.75" customHeight="1" x14ac:dyDescent="0.15">
      <c r="L644" s="8"/>
      <c r="M644" s="8"/>
    </row>
    <row r="645" spans="12:13" ht="15.75" customHeight="1" x14ac:dyDescent="0.15">
      <c r="L645" s="8"/>
      <c r="M645" s="8"/>
    </row>
    <row r="646" spans="12:13" ht="15.75" customHeight="1" x14ac:dyDescent="0.15">
      <c r="L646" s="8"/>
      <c r="M646" s="8"/>
    </row>
    <row r="647" spans="12:13" ht="15.75" customHeight="1" x14ac:dyDescent="0.15">
      <c r="L647" s="8"/>
      <c r="M647" s="8"/>
    </row>
    <row r="648" spans="12:13" ht="15.75" customHeight="1" x14ac:dyDescent="0.15">
      <c r="L648" s="8"/>
      <c r="M648" s="8"/>
    </row>
    <row r="649" spans="12:13" ht="15.75" customHeight="1" x14ac:dyDescent="0.15">
      <c r="L649" s="8"/>
      <c r="M649" s="8"/>
    </row>
    <row r="650" spans="12:13" ht="15.75" customHeight="1" x14ac:dyDescent="0.15">
      <c r="L650" s="8"/>
      <c r="M650" s="8"/>
    </row>
    <row r="651" spans="12:13" ht="15.75" customHeight="1" x14ac:dyDescent="0.15">
      <c r="L651" s="8"/>
      <c r="M651" s="8"/>
    </row>
    <row r="652" spans="12:13" ht="15.75" customHeight="1" x14ac:dyDescent="0.15">
      <c r="L652" s="8"/>
      <c r="M652" s="8"/>
    </row>
    <row r="653" spans="12:13" ht="15.75" customHeight="1" x14ac:dyDescent="0.15">
      <c r="L653" s="8"/>
      <c r="M653" s="8"/>
    </row>
    <row r="654" spans="12:13" ht="15.75" customHeight="1" x14ac:dyDescent="0.15">
      <c r="L654" s="8"/>
      <c r="M654" s="8"/>
    </row>
    <row r="655" spans="12:13" ht="15.75" customHeight="1" x14ac:dyDescent="0.15">
      <c r="L655" s="8"/>
      <c r="M655" s="8"/>
    </row>
    <row r="656" spans="12:13" ht="15.75" customHeight="1" x14ac:dyDescent="0.15">
      <c r="L656" s="8"/>
      <c r="M656" s="8"/>
    </row>
    <row r="657" spans="12:13" ht="15.75" customHeight="1" x14ac:dyDescent="0.15">
      <c r="L657" s="8"/>
      <c r="M657" s="8"/>
    </row>
    <row r="658" spans="12:13" ht="15.75" customHeight="1" x14ac:dyDescent="0.15">
      <c r="L658" s="8"/>
      <c r="M658" s="8"/>
    </row>
    <row r="659" spans="12:13" ht="15.75" customHeight="1" x14ac:dyDescent="0.15">
      <c r="L659" s="8"/>
      <c r="M659" s="8"/>
    </row>
    <row r="660" spans="12:13" ht="15.75" customHeight="1" x14ac:dyDescent="0.15">
      <c r="L660" s="8"/>
      <c r="M660" s="8"/>
    </row>
    <row r="661" spans="12:13" ht="15.75" customHeight="1" x14ac:dyDescent="0.15">
      <c r="L661" s="8"/>
      <c r="M661" s="8"/>
    </row>
    <row r="662" spans="12:13" ht="15.75" customHeight="1" x14ac:dyDescent="0.15">
      <c r="L662" s="8"/>
      <c r="M662" s="8"/>
    </row>
    <row r="663" spans="12:13" ht="15.75" customHeight="1" x14ac:dyDescent="0.15">
      <c r="L663" s="8"/>
      <c r="M663" s="8"/>
    </row>
    <row r="664" spans="12:13" ht="15.75" customHeight="1" x14ac:dyDescent="0.15">
      <c r="L664" s="8"/>
      <c r="M664" s="8"/>
    </row>
    <row r="665" spans="12:13" ht="15.75" customHeight="1" x14ac:dyDescent="0.15">
      <c r="L665" s="8"/>
      <c r="M665" s="8"/>
    </row>
    <row r="666" spans="12:13" ht="15.75" customHeight="1" x14ac:dyDescent="0.15">
      <c r="L666" s="8"/>
      <c r="M666" s="8"/>
    </row>
    <row r="667" spans="12:13" ht="15.75" customHeight="1" x14ac:dyDescent="0.15">
      <c r="L667" s="8"/>
      <c r="M667" s="8"/>
    </row>
    <row r="668" spans="12:13" ht="15.75" customHeight="1" x14ac:dyDescent="0.15">
      <c r="L668" s="8"/>
      <c r="M668" s="8"/>
    </row>
    <row r="669" spans="12:13" ht="15.75" customHeight="1" x14ac:dyDescent="0.15">
      <c r="L669" s="8"/>
      <c r="M669" s="8"/>
    </row>
    <row r="670" spans="12:13" ht="15.75" customHeight="1" x14ac:dyDescent="0.15">
      <c r="L670" s="8"/>
      <c r="M670" s="8"/>
    </row>
    <row r="671" spans="12:13" ht="15.75" customHeight="1" x14ac:dyDescent="0.15">
      <c r="L671" s="8"/>
      <c r="M671" s="8"/>
    </row>
    <row r="672" spans="12:13" ht="15.75" customHeight="1" x14ac:dyDescent="0.15">
      <c r="L672" s="8"/>
      <c r="M672" s="8"/>
    </row>
    <row r="673" spans="12:13" ht="15.75" customHeight="1" x14ac:dyDescent="0.15">
      <c r="L673" s="8"/>
      <c r="M673" s="8"/>
    </row>
    <row r="674" spans="12:13" ht="15.75" customHeight="1" x14ac:dyDescent="0.15">
      <c r="L674" s="8"/>
      <c r="M674" s="8"/>
    </row>
    <row r="675" spans="12:13" ht="15.75" customHeight="1" x14ac:dyDescent="0.15">
      <c r="L675" s="8"/>
      <c r="M675" s="8"/>
    </row>
    <row r="676" spans="12:13" ht="15.75" customHeight="1" x14ac:dyDescent="0.15">
      <c r="L676" s="8"/>
      <c r="M676" s="8"/>
    </row>
    <row r="677" spans="12:13" ht="15.75" customHeight="1" x14ac:dyDescent="0.15">
      <c r="L677" s="8"/>
      <c r="M677" s="8"/>
    </row>
    <row r="678" spans="12:13" ht="15.75" customHeight="1" x14ac:dyDescent="0.15">
      <c r="L678" s="8"/>
      <c r="M678" s="8"/>
    </row>
    <row r="679" spans="12:13" ht="15.75" customHeight="1" x14ac:dyDescent="0.15">
      <c r="L679" s="8"/>
      <c r="M679" s="8"/>
    </row>
    <row r="680" spans="12:13" ht="15.75" customHeight="1" x14ac:dyDescent="0.15">
      <c r="L680" s="8"/>
      <c r="M680" s="8"/>
    </row>
    <row r="681" spans="12:13" ht="15.75" customHeight="1" x14ac:dyDescent="0.15">
      <c r="L681" s="8"/>
      <c r="M681" s="8"/>
    </row>
    <row r="682" spans="12:13" ht="15.75" customHeight="1" x14ac:dyDescent="0.15">
      <c r="L682" s="8"/>
      <c r="M682" s="8"/>
    </row>
    <row r="683" spans="12:13" ht="15.75" customHeight="1" x14ac:dyDescent="0.15">
      <c r="L683" s="8"/>
      <c r="M683" s="8"/>
    </row>
    <row r="684" spans="12:13" ht="15.75" customHeight="1" x14ac:dyDescent="0.15">
      <c r="L684" s="8"/>
      <c r="M684" s="8"/>
    </row>
    <row r="685" spans="12:13" ht="15.75" customHeight="1" x14ac:dyDescent="0.15">
      <c r="L685" s="8"/>
      <c r="M685" s="8"/>
    </row>
    <row r="686" spans="12:13" ht="15.75" customHeight="1" x14ac:dyDescent="0.15">
      <c r="L686" s="8"/>
      <c r="M686" s="8"/>
    </row>
    <row r="687" spans="12:13" ht="15.75" customHeight="1" x14ac:dyDescent="0.15">
      <c r="L687" s="8"/>
      <c r="M687" s="8"/>
    </row>
    <row r="688" spans="12:13" ht="15.75" customHeight="1" x14ac:dyDescent="0.15">
      <c r="L688" s="8"/>
      <c r="M688" s="8"/>
    </row>
    <row r="689" spans="12:13" ht="15.75" customHeight="1" x14ac:dyDescent="0.15">
      <c r="L689" s="8"/>
      <c r="M689" s="8"/>
    </row>
    <row r="690" spans="12:13" ht="15.75" customHeight="1" x14ac:dyDescent="0.15">
      <c r="L690" s="8"/>
      <c r="M690" s="8"/>
    </row>
    <row r="691" spans="12:13" ht="15.75" customHeight="1" x14ac:dyDescent="0.15">
      <c r="L691" s="8"/>
      <c r="M691" s="8"/>
    </row>
    <row r="692" spans="12:13" ht="15.75" customHeight="1" x14ac:dyDescent="0.15">
      <c r="L692" s="8"/>
      <c r="M692" s="8"/>
    </row>
    <row r="693" spans="12:13" ht="15.75" customHeight="1" x14ac:dyDescent="0.15">
      <c r="L693" s="8"/>
      <c r="M693" s="8"/>
    </row>
    <row r="694" spans="12:13" ht="15.75" customHeight="1" x14ac:dyDescent="0.15">
      <c r="L694" s="8"/>
      <c r="M694" s="8"/>
    </row>
    <row r="695" spans="12:13" ht="15.75" customHeight="1" x14ac:dyDescent="0.15">
      <c r="L695" s="8"/>
      <c r="M695" s="8"/>
    </row>
    <row r="696" spans="12:13" ht="15.75" customHeight="1" x14ac:dyDescent="0.15">
      <c r="L696" s="8"/>
      <c r="M696" s="8"/>
    </row>
    <row r="697" spans="12:13" ht="15.75" customHeight="1" x14ac:dyDescent="0.15">
      <c r="L697" s="8"/>
      <c r="M697" s="8"/>
    </row>
    <row r="698" spans="12:13" ht="15.75" customHeight="1" x14ac:dyDescent="0.15">
      <c r="L698" s="8"/>
      <c r="M698" s="8"/>
    </row>
    <row r="699" spans="12:13" ht="15.75" customHeight="1" x14ac:dyDescent="0.15">
      <c r="L699" s="8"/>
      <c r="M699" s="8"/>
    </row>
    <row r="700" spans="12:13" ht="15.75" customHeight="1" x14ac:dyDescent="0.15">
      <c r="L700" s="8"/>
      <c r="M700" s="8"/>
    </row>
    <row r="701" spans="12:13" ht="15.75" customHeight="1" x14ac:dyDescent="0.15">
      <c r="L701" s="8"/>
      <c r="M701" s="8"/>
    </row>
    <row r="702" spans="12:13" ht="15.75" customHeight="1" x14ac:dyDescent="0.15">
      <c r="L702" s="8"/>
      <c r="M702" s="8"/>
    </row>
    <row r="703" spans="12:13" ht="15.75" customHeight="1" x14ac:dyDescent="0.15">
      <c r="L703" s="8"/>
      <c r="M703" s="8"/>
    </row>
    <row r="704" spans="12:13" ht="15.75" customHeight="1" x14ac:dyDescent="0.15">
      <c r="L704" s="8"/>
      <c r="M704" s="8"/>
    </row>
    <row r="705" spans="12:13" ht="15.75" customHeight="1" x14ac:dyDescent="0.15">
      <c r="L705" s="8"/>
      <c r="M705" s="8"/>
    </row>
    <row r="706" spans="12:13" ht="15.75" customHeight="1" x14ac:dyDescent="0.15">
      <c r="L706" s="8"/>
      <c r="M706" s="8"/>
    </row>
    <row r="707" spans="12:13" ht="15.75" customHeight="1" x14ac:dyDescent="0.15">
      <c r="L707" s="8"/>
      <c r="M707" s="8"/>
    </row>
    <row r="708" spans="12:13" ht="15.75" customHeight="1" x14ac:dyDescent="0.15">
      <c r="L708" s="8"/>
      <c r="M708" s="8"/>
    </row>
    <row r="709" spans="12:13" ht="15.75" customHeight="1" x14ac:dyDescent="0.15">
      <c r="L709" s="8"/>
      <c r="M709" s="8"/>
    </row>
    <row r="710" spans="12:13" ht="15.75" customHeight="1" x14ac:dyDescent="0.15">
      <c r="L710" s="8"/>
      <c r="M710" s="8"/>
    </row>
    <row r="711" spans="12:13" ht="15.75" customHeight="1" x14ac:dyDescent="0.15">
      <c r="L711" s="8"/>
      <c r="M711" s="8"/>
    </row>
    <row r="712" spans="12:13" ht="15.75" customHeight="1" x14ac:dyDescent="0.15">
      <c r="L712" s="8"/>
      <c r="M712" s="8"/>
    </row>
    <row r="713" spans="12:13" ht="15.75" customHeight="1" x14ac:dyDescent="0.15">
      <c r="L713" s="8"/>
      <c r="M713" s="8"/>
    </row>
    <row r="714" spans="12:13" ht="15.75" customHeight="1" x14ac:dyDescent="0.15">
      <c r="L714" s="8"/>
      <c r="M714" s="8"/>
    </row>
    <row r="715" spans="12:13" ht="15.75" customHeight="1" x14ac:dyDescent="0.15">
      <c r="L715" s="8"/>
      <c r="M715" s="8"/>
    </row>
    <row r="716" spans="12:13" ht="15.75" customHeight="1" x14ac:dyDescent="0.15">
      <c r="L716" s="8"/>
      <c r="M716" s="8"/>
    </row>
    <row r="717" spans="12:13" ht="15.75" customHeight="1" x14ac:dyDescent="0.15">
      <c r="L717" s="8"/>
      <c r="M717" s="8"/>
    </row>
    <row r="718" spans="12:13" ht="15.75" customHeight="1" x14ac:dyDescent="0.15">
      <c r="L718" s="8"/>
      <c r="M718" s="8"/>
    </row>
    <row r="719" spans="12:13" ht="15.75" customHeight="1" x14ac:dyDescent="0.15">
      <c r="L719" s="8"/>
      <c r="M719" s="8"/>
    </row>
    <row r="720" spans="12:13" ht="15.75" customHeight="1" x14ac:dyDescent="0.15">
      <c r="L720" s="8"/>
      <c r="M720" s="8"/>
    </row>
    <row r="721" spans="12:13" ht="15.75" customHeight="1" x14ac:dyDescent="0.15">
      <c r="L721" s="8"/>
      <c r="M721" s="8"/>
    </row>
    <row r="722" spans="12:13" ht="15.75" customHeight="1" x14ac:dyDescent="0.15">
      <c r="L722" s="8"/>
      <c r="M722" s="8"/>
    </row>
    <row r="723" spans="12:13" ht="15.75" customHeight="1" x14ac:dyDescent="0.15">
      <c r="L723" s="8"/>
      <c r="M723" s="8"/>
    </row>
    <row r="724" spans="12:13" ht="15.75" customHeight="1" x14ac:dyDescent="0.15">
      <c r="L724" s="8"/>
      <c r="M724" s="8"/>
    </row>
    <row r="725" spans="12:13" ht="15.75" customHeight="1" x14ac:dyDescent="0.15">
      <c r="L725" s="8"/>
      <c r="M725" s="8"/>
    </row>
    <row r="726" spans="12:13" ht="15.75" customHeight="1" x14ac:dyDescent="0.15">
      <c r="L726" s="8"/>
      <c r="M726" s="8"/>
    </row>
    <row r="727" spans="12:13" ht="15.75" customHeight="1" x14ac:dyDescent="0.15">
      <c r="L727" s="8"/>
      <c r="M727" s="8"/>
    </row>
    <row r="728" spans="12:13" ht="15.75" customHeight="1" x14ac:dyDescent="0.15">
      <c r="L728" s="8"/>
      <c r="M728" s="8"/>
    </row>
    <row r="729" spans="12:13" ht="15.75" customHeight="1" x14ac:dyDescent="0.15">
      <c r="L729" s="8"/>
      <c r="M729" s="8"/>
    </row>
    <row r="730" spans="12:13" ht="15.75" customHeight="1" x14ac:dyDescent="0.15">
      <c r="L730" s="8"/>
      <c r="M730" s="8"/>
    </row>
    <row r="731" spans="12:13" ht="15.75" customHeight="1" x14ac:dyDescent="0.15">
      <c r="L731" s="8"/>
      <c r="M731" s="8"/>
    </row>
    <row r="732" spans="12:13" ht="15.75" customHeight="1" x14ac:dyDescent="0.15">
      <c r="L732" s="8"/>
      <c r="M732" s="8"/>
    </row>
    <row r="733" spans="12:13" ht="15.75" customHeight="1" x14ac:dyDescent="0.15">
      <c r="L733" s="8"/>
      <c r="M733" s="8"/>
    </row>
    <row r="734" spans="12:13" ht="15.75" customHeight="1" x14ac:dyDescent="0.15">
      <c r="L734" s="8"/>
      <c r="M734" s="8"/>
    </row>
    <row r="735" spans="12:13" ht="15.75" customHeight="1" x14ac:dyDescent="0.15">
      <c r="L735" s="8"/>
      <c r="M735" s="8"/>
    </row>
    <row r="736" spans="12:13" ht="15.75" customHeight="1" x14ac:dyDescent="0.15">
      <c r="L736" s="8"/>
      <c r="M736" s="8"/>
    </row>
    <row r="737" spans="12:13" ht="15.75" customHeight="1" x14ac:dyDescent="0.15">
      <c r="L737" s="8"/>
      <c r="M737" s="8"/>
    </row>
    <row r="738" spans="12:13" ht="15.75" customHeight="1" x14ac:dyDescent="0.15">
      <c r="L738" s="8"/>
      <c r="M738" s="8"/>
    </row>
    <row r="739" spans="12:13" ht="15.75" customHeight="1" x14ac:dyDescent="0.15">
      <c r="L739" s="8"/>
      <c r="M739" s="8"/>
    </row>
    <row r="740" spans="12:13" ht="15.75" customHeight="1" x14ac:dyDescent="0.15">
      <c r="L740" s="8"/>
      <c r="M740" s="8"/>
    </row>
    <row r="741" spans="12:13" ht="15.75" customHeight="1" x14ac:dyDescent="0.15">
      <c r="L741" s="8"/>
      <c r="M741" s="8"/>
    </row>
    <row r="742" spans="12:13" ht="15.75" customHeight="1" x14ac:dyDescent="0.15">
      <c r="L742" s="8"/>
      <c r="M742" s="8"/>
    </row>
    <row r="743" spans="12:13" ht="15.75" customHeight="1" x14ac:dyDescent="0.15">
      <c r="L743" s="8"/>
      <c r="M743" s="8"/>
    </row>
    <row r="744" spans="12:13" ht="15.75" customHeight="1" x14ac:dyDescent="0.15">
      <c r="L744" s="8"/>
      <c r="M744" s="8"/>
    </row>
    <row r="745" spans="12:13" ht="15.75" customHeight="1" x14ac:dyDescent="0.15">
      <c r="L745" s="8"/>
      <c r="M745" s="8"/>
    </row>
    <row r="746" spans="12:13" ht="15.75" customHeight="1" x14ac:dyDescent="0.15">
      <c r="L746" s="8"/>
      <c r="M746" s="8"/>
    </row>
    <row r="747" spans="12:13" ht="15.75" customHeight="1" x14ac:dyDescent="0.15">
      <c r="L747" s="8"/>
      <c r="M747" s="8"/>
    </row>
    <row r="748" spans="12:13" ht="15.75" customHeight="1" x14ac:dyDescent="0.15">
      <c r="L748" s="8"/>
      <c r="M748" s="8"/>
    </row>
    <row r="749" spans="12:13" ht="15.75" customHeight="1" x14ac:dyDescent="0.15">
      <c r="L749" s="8"/>
      <c r="M749" s="8"/>
    </row>
    <row r="750" spans="12:13" ht="15.75" customHeight="1" x14ac:dyDescent="0.15">
      <c r="L750" s="8"/>
      <c r="M750" s="8"/>
    </row>
    <row r="751" spans="12:13" ht="15.75" customHeight="1" x14ac:dyDescent="0.15">
      <c r="L751" s="8"/>
      <c r="M751" s="8"/>
    </row>
    <row r="752" spans="12:13" ht="15.75" customHeight="1" x14ac:dyDescent="0.15">
      <c r="L752" s="8"/>
      <c r="M752" s="8"/>
    </row>
    <row r="753" spans="12:13" ht="15.75" customHeight="1" x14ac:dyDescent="0.15">
      <c r="L753" s="8"/>
      <c r="M753" s="8"/>
    </row>
    <row r="754" spans="12:13" ht="15.75" customHeight="1" x14ac:dyDescent="0.15">
      <c r="L754" s="8"/>
      <c r="M754" s="8"/>
    </row>
    <row r="755" spans="12:13" ht="15.75" customHeight="1" x14ac:dyDescent="0.15">
      <c r="L755" s="8"/>
      <c r="M755" s="8"/>
    </row>
    <row r="756" spans="12:13" ht="15.75" customHeight="1" x14ac:dyDescent="0.15">
      <c r="L756" s="8"/>
      <c r="M756" s="8"/>
    </row>
    <row r="757" spans="12:13" ht="15.75" customHeight="1" x14ac:dyDescent="0.15">
      <c r="L757" s="8"/>
      <c r="M757" s="8"/>
    </row>
    <row r="758" spans="12:13" ht="15.75" customHeight="1" x14ac:dyDescent="0.15">
      <c r="L758" s="8"/>
      <c r="M758" s="8"/>
    </row>
    <row r="759" spans="12:13" ht="15.75" customHeight="1" x14ac:dyDescent="0.15">
      <c r="L759" s="8"/>
      <c r="M759" s="8"/>
    </row>
    <row r="760" spans="12:13" ht="15.75" customHeight="1" x14ac:dyDescent="0.15">
      <c r="L760" s="8"/>
      <c r="M760" s="8"/>
    </row>
    <row r="761" spans="12:13" ht="15.75" customHeight="1" x14ac:dyDescent="0.15">
      <c r="L761" s="8"/>
      <c r="M761" s="8"/>
    </row>
    <row r="762" spans="12:13" ht="15.75" customHeight="1" x14ac:dyDescent="0.15">
      <c r="L762" s="8"/>
      <c r="M762" s="8"/>
    </row>
    <row r="763" spans="12:13" ht="15.75" customHeight="1" x14ac:dyDescent="0.15">
      <c r="L763" s="8"/>
      <c r="M763" s="8"/>
    </row>
    <row r="764" spans="12:13" ht="15.75" customHeight="1" x14ac:dyDescent="0.15">
      <c r="L764" s="8"/>
      <c r="M764" s="8"/>
    </row>
    <row r="765" spans="12:13" ht="15.75" customHeight="1" x14ac:dyDescent="0.15">
      <c r="L765" s="8"/>
      <c r="M765" s="8"/>
    </row>
    <row r="766" spans="12:13" ht="15.75" customHeight="1" x14ac:dyDescent="0.15">
      <c r="L766" s="8"/>
      <c r="M766" s="8"/>
    </row>
    <row r="767" spans="12:13" ht="15.75" customHeight="1" x14ac:dyDescent="0.15">
      <c r="L767" s="8"/>
      <c r="M767" s="8"/>
    </row>
    <row r="768" spans="12:13" ht="15.75" customHeight="1" x14ac:dyDescent="0.15">
      <c r="L768" s="8"/>
      <c r="M768" s="8"/>
    </row>
    <row r="769" spans="12:13" ht="15.75" customHeight="1" x14ac:dyDescent="0.15">
      <c r="L769" s="8"/>
      <c r="M769" s="8"/>
    </row>
    <row r="770" spans="12:13" ht="15.75" customHeight="1" x14ac:dyDescent="0.15">
      <c r="L770" s="8"/>
      <c r="M770" s="8"/>
    </row>
    <row r="771" spans="12:13" ht="15.75" customHeight="1" x14ac:dyDescent="0.15">
      <c r="L771" s="8"/>
      <c r="M771" s="8"/>
    </row>
    <row r="772" spans="12:13" ht="15.75" customHeight="1" x14ac:dyDescent="0.15">
      <c r="L772" s="8"/>
      <c r="M772" s="8"/>
    </row>
    <row r="773" spans="12:13" ht="15.75" customHeight="1" x14ac:dyDescent="0.15">
      <c r="L773" s="8"/>
      <c r="M773" s="8"/>
    </row>
    <row r="774" spans="12:13" ht="15.75" customHeight="1" x14ac:dyDescent="0.15">
      <c r="L774" s="8"/>
      <c r="M774" s="8"/>
    </row>
    <row r="775" spans="12:13" ht="15.75" customHeight="1" x14ac:dyDescent="0.15">
      <c r="L775" s="8"/>
      <c r="M775" s="8"/>
    </row>
    <row r="776" spans="12:13" ht="15.75" customHeight="1" x14ac:dyDescent="0.15">
      <c r="L776" s="8"/>
      <c r="M776" s="8"/>
    </row>
    <row r="777" spans="12:13" ht="15.75" customHeight="1" x14ac:dyDescent="0.15">
      <c r="L777" s="8"/>
      <c r="M777" s="8"/>
    </row>
    <row r="778" spans="12:13" ht="15.75" customHeight="1" x14ac:dyDescent="0.15">
      <c r="L778" s="8"/>
      <c r="M778" s="8"/>
    </row>
    <row r="779" spans="12:13" ht="15.75" customHeight="1" x14ac:dyDescent="0.15">
      <c r="L779" s="8"/>
      <c r="M779" s="8"/>
    </row>
    <row r="780" spans="12:13" ht="15.75" customHeight="1" x14ac:dyDescent="0.15">
      <c r="L780" s="8"/>
      <c r="M780" s="8"/>
    </row>
    <row r="781" spans="12:13" ht="15.75" customHeight="1" x14ac:dyDescent="0.15">
      <c r="L781" s="8"/>
      <c r="M781" s="8"/>
    </row>
    <row r="782" spans="12:13" ht="15.75" customHeight="1" x14ac:dyDescent="0.15">
      <c r="L782" s="8"/>
      <c r="M782" s="8"/>
    </row>
    <row r="783" spans="12:13" ht="15.75" customHeight="1" x14ac:dyDescent="0.15">
      <c r="L783" s="8"/>
      <c r="M783" s="8"/>
    </row>
    <row r="784" spans="12:13" ht="15.75" customHeight="1" x14ac:dyDescent="0.15">
      <c r="L784" s="8"/>
      <c r="M784" s="8"/>
    </row>
    <row r="785" spans="12:13" ht="15.75" customHeight="1" x14ac:dyDescent="0.15">
      <c r="L785" s="8"/>
      <c r="M785" s="8"/>
    </row>
    <row r="786" spans="12:13" ht="15.75" customHeight="1" x14ac:dyDescent="0.15">
      <c r="L786" s="8"/>
      <c r="M786" s="8"/>
    </row>
    <row r="787" spans="12:13" ht="15.75" customHeight="1" x14ac:dyDescent="0.15">
      <c r="L787" s="8"/>
      <c r="M787" s="8"/>
    </row>
    <row r="788" spans="12:13" ht="15.75" customHeight="1" x14ac:dyDescent="0.15">
      <c r="L788" s="8"/>
      <c r="M788" s="8"/>
    </row>
    <row r="789" spans="12:13" ht="15.75" customHeight="1" x14ac:dyDescent="0.15">
      <c r="L789" s="8"/>
      <c r="M789" s="8"/>
    </row>
    <row r="790" spans="12:13" ht="15.75" customHeight="1" x14ac:dyDescent="0.15">
      <c r="L790" s="8"/>
      <c r="M790" s="8"/>
    </row>
    <row r="791" spans="12:13" ht="15.75" customHeight="1" x14ac:dyDescent="0.15">
      <c r="L791" s="8"/>
      <c r="M791" s="8"/>
    </row>
    <row r="792" spans="12:13" ht="15.75" customHeight="1" x14ac:dyDescent="0.15">
      <c r="L792" s="8"/>
      <c r="M792" s="8"/>
    </row>
    <row r="793" spans="12:13" ht="15.75" customHeight="1" x14ac:dyDescent="0.15">
      <c r="L793" s="8"/>
      <c r="M793" s="8"/>
    </row>
    <row r="794" spans="12:13" ht="15.75" customHeight="1" x14ac:dyDescent="0.15">
      <c r="L794" s="8"/>
      <c r="M794" s="8"/>
    </row>
    <row r="795" spans="12:13" ht="15.75" customHeight="1" x14ac:dyDescent="0.15">
      <c r="L795" s="8"/>
      <c r="M795" s="8"/>
    </row>
    <row r="796" spans="12:13" ht="15.75" customHeight="1" x14ac:dyDescent="0.15">
      <c r="L796" s="8"/>
      <c r="M796" s="8"/>
    </row>
    <row r="797" spans="12:13" ht="15.75" customHeight="1" x14ac:dyDescent="0.15">
      <c r="L797" s="8"/>
      <c r="M797" s="8"/>
    </row>
    <row r="798" spans="12:13" ht="15.75" customHeight="1" x14ac:dyDescent="0.15">
      <c r="L798" s="8"/>
      <c r="M798" s="8"/>
    </row>
    <row r="799" spans="12:13" ht="15.75" customHeight="1" x14ac:dyDescent="0.15">
      <c r="L799" s="8"/>
      <c r="M799" s="8"/>
    </row>
    <row r="800" spans="12:13" ht="15.75" customHeight="1" x14ac:dyDescent="0.15">
      <c r="L800" s="8"/>
      <c r="M800" s="8"/>
    </row>
    <row r="801" spans="12:13" ht="15.75" customHeight="1" x14ac:dyDescent="0.15">
      <c r="L801" s="8"/>
      <c r="M801" s="8"/>
    </row>
    <row r="802" spans="12:13" ht="15.75" customHeight="1" x14ac:dyDescent="0.15">
      <c r="L802" s="8"/>
      <c r="M802" s="8"/>
    </row>
    <row r="803" spans="12:13" ht="15.75" customHeight="1" x14ac:dyDescent="0.15">
      <c r="L803" s="8"/>
      <c r="M803" s="8"/>
    </row>
    <row r="804" spans="12:13" ht="15.75" customHeight="1" x14ac:dyDescent="0.15">
      <c r="L804" s="8"/>
      <c r="M804" s="8"/>
    </row>
    <row r="805" spans="12:13" ht="15.75" customHeight="1" x14ac:dyDescent="0.15">
      <c r="L805" s="8"/>
      <c r="M805" s="8"/>
    </row>
    <row r="806" spans="12:13" ht="15.75" customHeight="1" x14ac:dyDescent="0.15">
      <c r="L806" s="8"/>
      <c r="M806" s="8"/>
    </row>
    <row r="807" spans="12:13" ht="15.75" customHeight="1" x14ac:dyDescent="0.15">
      <c r="L807" s="8"/>
      <c r="M807" s="8"/>
    </row>
    <row r="808" spans="12:13" ht="15.75" customHeight="1" x14ac:dyDescent="0.15">
      <c r="L808" s="8"/>
      <c r="M808" s="8"/>
    </row>
    <row r="809" spans="12:13" ht="15.75" customHeight="1" x14ac:dyDescent="0.15">
      <c r="L809" s="8"/>
      <c r="M809" s="8"/>
    </row>
    <row r="810" spans="12:13" ht="15.75" customHeight="1" x14ac:dyDescent="0.15">
      <c r="L810" s="8"/>
      <c r="M810" s="8"/>
    </row>
    <row r="811" spans="12:13" ht="15.75" customHeight="1" x14ac:dyDescent="0.15">
      <c r="L811" s="8"/>
      <c r="M811" s="8"/>
    </row>
    <row r="812" spans="12:13" ht="15.75" customHeight="1" x14ac:dyDescent="0.15">
      <c r="L812" s="8"/>
      <c r="M812" s="8"/>
    </row>
    <row r="813" spans="12:13" ht="15.75" customHeight="1" x14ac:dyDescent="0.15">
      <c r="L813" s="8"/>
      <c r="M813" s="8"/>
    </row>
    <row r="814" spans="12:13" ht="15.75" customHeight="1" x14ac:dyDescent="0.15">
      <c r="L814" s="8"/>
      <c r="M814" s="8"/>
    </row>
    <row r="815" spans="12:13" ht="15.75" customHeight="1" x14ac:dyDescent="0.15">
      <c r="L815" s="8"/>
      <c r="M815" s="8"/>
    </row>
    <row r="816" spans="12:13" ht="15.75" customHeight="1" x14ac:dyDescent="0.15">
      <c r="L816" s="8"/>
      <c r="M816" s="8"/>
    </row>
    <row r="817" spans="12:13" ht="15.75" customHeight="1" x14ac:dyDescent="0.15">
      <c r="L817" s="8"/>
      <c r="M817" s="8"/>
    </row>
    <row r="818" spans="12:13" ht="15.75" customHeight="1" x14ac:dyDescent="0.15">
      <c r="L818" s="8"/>
      <c r="M818" s="8"/>
    </row>
    <row r="819" spans="12:13" ht="15.75" customHeight="1" x14ac:dyDescent="0.15">
      <c r="L819" s="8"/>
      <c r="M819" s="8"/>
    </row>
    <row r="820" spans="12:13" ht="15.75" customHeight="1" x14ac:dyDescent="0.15">
      <c r="L820" s="8"/>
      <c r="M820" s="8"/>
    </row>
    <row r="821" spans="12:13" ht="15.75" customHeight="1" x14ac:dyDescent="0.15">
      <c r="L821" s="8"/>
      <c r="M821" s="8"/>
    </row>
    <row r="822" spans="12:13" ht="15.75" customHeight="1" x14ac:dyDescent="0.15">
      <c r="L822" s="8"/>
      <c r="M822" s="8"/>
    </row>
    <row r="823" spans="12:13" ht="15.75" customHeight="1" x14ac:dyDescent="0.15">
      <c r="L823" s="8"/>
      <c r="M823" s="8"/>
    </row>
    <row r="824" spans="12:13" ht="15.75" customHeight="1" x14ac:dyDescent="0.15">
      <c r="L824" s="8"/>
      <c r="M824" s="8"/>
    </row>
    <row r="825" spans="12:13" ht="15.75" customHeight="1" x14ac:dyDescent="0.15">
      <c r="L825" s="8"/>
      <c r="M825" s="8"/>
    </row>
    <row r="826" spans="12:13" ht="15.75" customHeight="1" x14ac:dyDescent="0.15">
      <c r="L826" s="8"/>
      <c r="M826" s="8"/>
    </row>
    <row r="827" spans="12:13" ht="15.75" customHeight="1" x14ac:dyDescent="0.15">
      <c r="L827" s="8"/>
      <c r="M827" s="8"/>
    </row>
    <row r="828" spans="12:13" ht="15.75" customHeight="1" x14ac:dyDescent="0.15">
      <c r="L828" s="8"/>
      <c r="M828" s="8"/>
    </row>
    <row r="829" spans="12:13" ht="15.75" customHeight="1" x14ac:dyDescent="0.15">
      <c r="L829" s="8"/>
      <c r="M829" s="8"/>
    </row>
    <row r="830" spans="12:13" ht="15.75" customHeight="1" x14ac:dyDescent="0.15">
      <c r="L830" s="8"/>
      <c r="M830" s="8"/>
    </row>
    <row r="831" spans="12:13" ht="15.75" customHeight="1" x14ac:dyDescent="0.15">
      <c r="L831" s="8"/>
      <c r="M831" s="8"/>
    </row>
    <row r="832" spans="12:13" ht="15.75" customHeight="1" x14ac:dyDescent="0.15">
      <c r="L832" s="8"/>
      <c r="M832" s="8"/>
    </row>
    <row r="833" spans="12:13" ht="15.75" customHeight="1" x14ac:dyDescent="0.15">
      <c r="L833" s="8"/>
      <c r="M833" s="8"/>
    </row>
    <row r="834" spans="12:13" ht="15.75" customHeight="1" x14ac:dyDescent="0.15">
      <c r="L834" s="8"/>
      <c r="M834" s="8"/>
    </row>
    <row r="835" spans="12:13" ht="15.75" customHeight="1" x14ac:dyDescent="0.15">
      <c r="L835" s="8"/>
      <c r="M835" s="8"/>
    </row>
    <row r="836" spans="12:13" ht="15.75" customHeight="1" x14ac:dyDescent="0.15">
      <c r="L836" s="8"/>
      <c r="M836" s="8"/>
    </row>
    <row r="837" spans="12:13" ht="15.75" customHeight="1" x14ac:dyDescent="0.15">
      <c r="L837" s="8"/>
      <c r="M837" s="8"/>
    </row>
    <row r="838" spans="12:13" ht="15.75" customHeight="1" x14ac:dyDescent="0.15">
      <c r="L838" s="8"/>
      <c r="M838" s="8"/>
    </row>
    <row r="839" spans="12:13" ht="15.75" customHeight="1" x14ac:dyDescent="0.15">
      <c r="L839" s="8"/>
      <c r="M839" s="8"/>
    </row>
    <row r="840" spans="12:13" ht="15.75" customHeight="1" x14ac:dyDescent="0.15">
      <c r="L840" s="8"/>
      <c r="M840" s="8"/>
    </row>
    <row r="841" spans="12:13" ht="15.75" customHeight="1" x14ac:dyDescent="0.15">
      <c r="L841" s="8"/>
      <c r="M841" s="8"/>
    </row>
    <row r="842" spans="12:13" ht="15.75" customHeight="1" x14ac:dyDescent="0.15">
      <c r="L842" s="8"/>
      <c r="M842" s="8"/>
    </row>
    <row r="843" spans="12:13" ht="15.75" customHeight="1" x14ac:dyDescent="0.15">
      <c r="L843" s="8"/>
      <c r="M843" s="8"/>
    </row>
    <row r="844" spans="12:13" ht="15.75" customHeight="1" x14ac:dyDescent="0.15">
      <c r="L844" s="8"/>
      <c r="M844" s="8"/>
    </row>
    <row r="845" spans="12:13" ht="15.75" customHeight="1" x14ac:dyDescent="0.15">
      <c r="L845" s="8"/>
      <c r="M845" s="8"/>
    </row>
    <row r="846" spans="12:13" ht="15.75" customHeight="1" x14ac:dyDescent="0.15">
      <c r="L846" s="8"/>
      <c r="M846" s="8"/>
    </row>
    <row r="847" spans="12:13" ht="15.75" customHeight="1" x14ac:dyDescent="0.15">
      <c r="L847" s="8"/>
      <c r="M847" s="8"/>
    </row>
    <row r="848" spans="12:13" ht="15.75" customHeight="1" x14ac:dyDescent="0.15">
      <c r="L848" s="8"/>
      <c r="M848" s="8"/>
    </row>
    <row r="849" spans="12:13" ht="15.75" customHeight="1" x14ac:dyDescent="0.15">
      <c r="L849" s="8"/>
      <c r="M849" s="8"/>
    </row>
    <row r="850" spans="12:13" ht="15.75" customHeight="1" x14ac:dyDescent="0.15">
      <c r="L850" s="8"/>
      <c r="M850" s="8"/>
    </row>
    <row r="851" spans="12:13" ht="15.75" customHeight="1" x14ac:dyDescent="0.15">
      <c r="L851" s="8"/>
      <c r="M851" s="8"/>
    </row>
    <row r="852" spans="12:13" ht="15.75" customHeight="1" x14ac:dyDescent="0.15">
      <c r="L852" s="8"/>
      <c r="M852" s="8"/>
    </row>
    <row r="853" spans="12:13" ht="15.75" customHeight="1" x14ac:dyDescent="0.15">
      <c r="L853" s="8"/>
      <c r="M853" s="8"/>
    </row>
    <row r="854" spans="12:13" ht="15.75" customHeight="1" x14ac:dyDescent="0.15">
      <c r="L854" s="8"/>
      <c r="M854" s="8"/>
    </row>
    <row r="855" spans="12:13" ht="15.75" customHeight="1" x14ac:dyDescent="0.15">
      <c r="L855" s="8"/>
      <c r="M855" s="8"/>
    </row>
    <row r="856" spans="12:13" ht="15.75" customHeight="1" x14ac:dyDescent="0.15">
      <c r="L856" s="8"/>
      <c r="M856" s="8"/>
    </row>
    <row r="857" spans="12:13" ht="15.75" customHeight="1" x14ac:dyDescent="0.15">
      <c r="L857" s="8"/>
      <c r="M857" s="8"/>
    </row>
    <row r="858" spans="12:13" ht="15.75" customHeight="1" x14ac:dyDescent="0.15">
      <c r="L858" s="8"/>
      <c r="M858" s="8"/>
    </row>
    <row r="859" spans="12:13" ht="15.75" customHeight="1" x14ac:dyDescent="0.15">
      <c r="L859" s="8"/>
      <c r="M859" s="8"/>
    </row>
    <row r="860" spans="12:13" ht="15.75" customHeight="1" x14ac:dyDescent="0.15">
      <c r="L860" s="8"/>
      <c r="M860" s="8"/>
    </row>
    <row r="861" spans="12:13" ht="15.75" customHeight="1" x14ac:dyDescent="0.15">
      <c r="L861" s="8"/>
      <c r="M861" s="8"/>
    </row>
    <row r="862" spans="12:13" ht="15.75" customHeight="1" x14ac:dyDescent="0.15">
      <c r="L862" s="8"/>
      <c r="M862" s="8"/>
    </row>
    <row r="863" spans="12:13" ht="15.75" customHeight="1" x14ac:dyDescent="0.15">
      <c r="L863" s="8"/>
      <c r="M863" s="8"/>
    </row>
    <row r="864" spans="12:13" ht="15.75" customHeight="1" x14ac:dyDescent="0.15">
      <c r="L864" s="8"/>
      <c r="M864" s="8"/>
    </row>
    <row r="865" spans="12:13" ht="15.75" customHeight="1" x14ac:dyDescent="0.15">
      <c r="L865" s="8"/>
      <c r="M865" s="8"/>
    </row>
    <row r="866" spans="12:13" ht="15.75" customHeight="1" x14ac:dyDescent="0.15">
      <c r="L866" s="8"/>
      <c r="M866" s="8"/>
    </row>
    <row r="867" spans="12:13" ht="15.75" customHeight="1" x14ac:dyDescent="0.15">
      <c r="L867" s="8"/>
      <c r="M867" s="8"/>
    </row>
    <row r="868" spans="12:13" ht="15.75" customHeight="1" x14ac:dyDescent="0.15">
      <c r="L868" s="8"/>
      <c r="M868" s="8"/>
    </row>
    <row r="869" spans="12:13" ht="15.75" customHeight="1" x14ac:dyDescent="0.15">
      <c r="L869" s="8"/>
      <c r="M869" s="8"/>
    </row>
    <row r="870" spans="12:13" ht="15.75" customHeight="1" x14ac:dyDescent="0.15">
      <c r="L870" s="8"/>
      <c r="M870" s="8"/>
    </row>
    <row r="871" spans="12:13" ht="15.75" customHeight="1" x14ac:dyDescent="0.15">
      <c r="L871" s="8"/>
      <c r="M871" s="8"/>
    </row>
    <row r="872" spans="12:13" ht="15.75" customHeight="1" x14ac:dyDescent="0.15">
      <c r="L872" s="8"/>
      <c r="M872" s="8"/>
    </row>
    <row r="873" spans="12:13" ht="15.75" customHeight="1" x14ac:dyDescent="0.15">
      <c r="L873" s="8"/>
      <c r="M873" s="8"/>
    </row>
    <row r="874" spans="12:13" ht="15.75" customHeight="1" x14ac:dyDescent="0.15">
      <c r="L874" s="8"/>
      <c r="M874" s="8"/>
    </row>
    <row r="875" spans="12:13" ht="15.75" customHeight="1" x14ac:dyDescent="0.15">
      <c r="L875" s="8"/>
      <c r="M875" s="8"/>
    </row>
    <row r="876" spans="12:13" ht="15.75" customHeight="1" x14ac:dyDescent="0.15">
      <c r="L876" s="8"/>
      <c r="M876" s="8"/>
    </row>
    <row r="877" spans="12:13" ht="15.75" customHeight="1" x14ac:dyDescent="0.15">
      <c r="L877" s="8"/>
      <c r="M877" s="8"/>
    </row>
    <row r="878" spans="12:13" ht="15.75" customHeight="1" x14ac:dyDescent="0.15">
      <c r="L878" s="8"/>
      <c r="M878" s="8"/>
    </row>
    <row r="879" spans="12:13" ht="15.75" customHeight="1" x14ac:dyDescent="0.15">
      <c r="L879" s="8"/>
      <c r="M879" s="8"/>
    </row>
    <row r="880" spans="12:13" ht="15.75" customHeight="1" x14ac:dyDescent="0.15">
      <c r="L880" s="8"/>
      <c r="M880" s="8"/>
    </row>
    <row r="881" spans="12:13" ht="15.75" customHeight="1" x14ac:dyDescent="0.15">
      <c r="L881" s="8"/>
      <c r="M881" s="8"/>
    </row>
    <row r="882" spans="12:13" ht="15.75" customHeight="1" x14ac:dyDescent="0.15">
      <c r="L882" s="8"/>
      <c r="M882" s="8"/>
    </row>
    <row r="883" spans="12:13" ht="15.75" customHeight="1" x14ac:dyDescent="0.15">
      <c r="L883" s="8"/>
      <c r="M883" s="8"/>
    </row>
    <row r="884" spans="12:13" ht="15.75" customHeight="1" x14ac:dyDescent="0.15">
      <c r="L884" s="8"/>
      <c r="M884" s="8"/>
    </row>
    <row r="885" spans="12:13" ht="15.75" customHeight="1" x14ac:dyDescent="0.15">
      <c r="L885" s="8"/>
      <c r="M885" s="8"/>
    </row>
    <row r="886" spans="12:13" ht="15.75" customHeight="1" x14ac:dyDescent="0.15">
      <c r="L886" s="8"/>
      <c r="M886" s="8"/>
    </row>
    <row r="887" spans="12:13" ht="15.75" customHeight="1" x14ac:dyDescent="0.15">
      <c r="L887" s="8"/>
      <c r="M887" s="8"/>
    </row>
    <row r="888" spans="12:13" ht="15.75" customHeight="1" x14ac:dyDescent="0.15">
      <c r="L888" s="8"/>
      <c r="M888" s="8"/>
    </row>
    <row r="889" spans="12:13" ht="15.75" customHeight="1" x14ac:dyDescent="0.15">
      <c r="L889" s="8"/>
      <c r="M889" s="8"/>
    </row>
    <row r="890" spans="12:13" ht="15.75" customHeight="1" x14ac:dyDescent="0.15">
      <c r="L890" s="8"/>
      <c r="M890" s="8"/>
    </row>
    <row r="891" spans="12:13" ht="15.75" customHeight="1" x14ac:dyDescent="0.15">
      <c r="L891" s="8"/>
      <c r="M891" s="8"/>
    </row>
    <row r="892" spans="12:13" ht="15.75" customHeight="1" x14ac:dyDescent="0.15">
      <c r="L892" s="8"/>
      <c r="M892" s="8"/>
    </row>
    <row r="893" spans="12:13" ht="15.75" customHeight="1" x14ac:dyDescent="0.15">
      <c r="L893" s="8"/>
      <c r="M893" s="8"/>
    </row>
    <row r="894" spans="12:13" ht="15.75" customHeight="1" x14ac:dyDescent="0.15">
      <c r="L894" s="8"/>
      <c r="M894" s="8"/>
    </row>
    <row r="895" spans="12:13" ht="15.75" customHeight="1" x14ac:dyDescent="0.15">
      <c r="L895" s="8"/>
      <c r="M895" s="8"/>
    </row>
    <row r="896" spans="12:13" ht="15.75" customHeight="1" x14ac:dyDescent="0.15">
      <c r="L896" s="8"/>
      <c r="M896" s="8"/>
    </row>
    <row r="897" spans="12:13" ht="15.75" customHeight="1" x14ac:dyDescent="0.15">
      <c r="L897" s="8"/>
      <c r="M897" s="8"/>
    </row>
    <row r="898" spans="12:13" ht="15.75" customHeight="1" x14ac:dyDescent="0.15">
      <c r="L898" s="8"/>
      <c r="M898" s="8"/>
    </row>
    <row r="899" spans="12:13" ht="15.75" customHeight="1" x14ac:dyDescent="0.15">
      <c r="L899" s="8"/>
      <c r="M899" s="8"/>
    </row>
    <row r="900" spans="12:13" ht="15.75" customHeight="1" x14ac:dyDescent="0.15">
      <c r="L900" s="8"/>
      <c r="M900" s="8"/>
    </row>
    <row r="901" spans="12:13" ht="15.75" customHeight="1" x14ac:dyDescent="0.15">
      <c r="L901" s="8"/>
      <c r="M901" s="8"/>
    </row>
    <row r="902" spans="12:13" ht="15.75" customHeight="1" x14ac:dyDescent="0.15">
      <c r="L902" s="8"/>
      <c r="M902" s="8"/>
    </row>
    <row r="903" spans="12:13" ht="15.75" customHeight="1" x14ac:dyDescent="0.15">
      <c r="L903" s="8"/>
      <c r="M903" s="8"/>
    </row>
    <row r="904" spans="12:13" ht="15.75" customHeight="1" x14ac:dyDescent="0.15">
      <c r="L904" s="8"/>
      <c r="M904" s="8"/>
    </row>
    <row r="905" spans="12:13" ht="15.75" customHeight="1" x14ac:dyDescent="0.15">
      <c r="L905" s="8"/>
      <c r="M905" s="8"/>
    </row>
    <row r="906" spans="12:13" ht="15.75" customHeight="1" x14ac:dyDescent="0.15">
      <c r="L906" s="8"/>
      <c r="M906" s="8"/>
    </row>
    <row r="907" spans="12:13" ht="15.75" customHeight="1" x14ac:dyDescent="0.15">
      <c r="L907" s="8"/>
      <c r="M907" s="8"/>
    </row>
    <row r="908" spans="12:13" ht="15.75" customHeight="1" x14ac:dyDescent="0.15">
      <c r="L908" s="8"/>
      <c r="M908" s="8"/>
    </row>
    <row r="909" spans="12:13" ht="15.75" customHeight="1" x14ac:dyDescent="0.15">
      <c r="L909" s="8"/>
      <c r="M909" s="8"/>
    </row>
    <row r="910" spans="12:13" ht="15.75" customHeight="1" x14ac:dyDescent="0.15">
      <c r="L910" s="8"/>
      <c r="M910" s="8"/>
    </row>
    <row r="911" spans="12:13" ht="15.75" customHeight="1" x14ac:dyDescent="0.15">
      <c r="L911" s="8"/>
      <c r="M911" s="8"/>
    </row>
    <row r="912" spans="12:13" ht="15.75" customHeight="1" x14ac:dyDescent="0.15">
      <c r="L912" s="8"/>
      <c r="M912" s="8"/>
    </row>
    <row r="913" spans="12:13" ht="15.75" customHeight="1" x14ac:dyDescent="0.15">
      <c r="L913" s="8"/>
      <c r="M913" s="8"/>
    </row>
    <row r="914" spans="12:13" ht="15.75" customHeight="1" x14ac:dyDescent="0.15">
      <c r="L914" s="8"/>
      <c r="M914" s="8"/>
    </row>
    <row r="915" spans="12:13" ht="15.75" customHeight="1" x14ac:dyDescent="0.15">
      <c r="L915" s="8"/>
      <c r="M915" s="8"/>
    </row>
    <row r="916" spans="12:13" ht="15.75" customHeight="1" x14ac:dyDescent="0.15">
      <c r="L916" s="8"/>
      <c r="M916" s="8"/>
    </row>
    <row r="917" spans="12:13" ht="15.75" customHeight="1" x14ac:dyDescent="0.15">
      <c r="L917" s="8"/>
      <c r="M917" s="8"/>
    </row>
    <row r="918" spans="12:13" ht="15.75" customHeight="1" x14ac:dyDescent="0.15">
      <c r="L918" s="8"/>
      <c r="M918" s="8"/>
    </row>
    <row r="919" spans="12:13" ht="15.75" customHeight="1" x14ac:dyDescent="0.15">
      <c r="L919" s="8"/>
      <c r="M919" s="8"/>
    </row>
    <row r="920" spans="12:13" ht="15.75" customHeight="1" x14ac:dyDescent="0.15">
      <c r="L920" s="8"/>
      <c r="M920" s="8"/>
    </row>
    <row r="921" spans="12:13" ht="15.75" customHeight="1" x14ac:dyDescent="0.15">
      <c r="L921" s="8"/>
      <c r="M921" s="8"/>
    </row>
    <row r="922" spans="12:13" ht="15.75" customHeight="1" x14ac:dyDescent="0.15">
      <c r="L922" s="8"/>
      <c r="M922" s="8"/>
    </row>
    <row r="923" spans="12:13" ht="15.75" customHeight="1" x14ac:dyDescent="0.15">
      <c r="L923" s="8"/>
      <c r="M923" s="8"/>
    </row>
    <row r="924" spans="12:13" ht="15.75" customHeight="1" x14ac:dyDescent="0.15">
      <c r="L924" s="8"/>
      <c r="M924" s="8"/>
    </row>
    <row r="925" spans="12:13" ht="15.75" customHeight="1" x14ac:dyDescent="0.15">
      <c r="L925" s="8"/>
      <c r="M925" s="8"/>
    </row>
    <row r="926" spans="12:13" ht="15.75" customHeight="1" x14ac:dyDescent="0.15">
      <c r="L926" s="8"/>
      <c r="M926" s="8"/>
    </row>
    <row r="927" spans="12:13" ht="15.75" customHeight="1" x14ac:dyDescent="0.15">
      <c r="L927" s="8"/>
      <c r="M927" s="8"/>
    </row>
    <row r="928" spans="12:13" ht="15.75" customHeight="1" x14ac:dyDescent="0.15">
      <c r="L928" s="8"/>
      <c r="M928" s="8"/>
    </row>
    <row r="929" spans="12:13" ht="15.75" customHeight="1" x14ac:dyDescent="0.15">
      <c r="L929" s="8"/>
      <c r="M929" s="8"/>
    </row>
    <row r="930" spans="12:13" ht="15.75" customHeight="1" x14ac:dyDescent="0.15">
      <c r="L930" s="8"/>
      <c r="M930" s="8"/>
    </row>
    <row r="931" spans="12:13" ht="15.75" customHeight="1" x14ac:dyDescent="0.15">
      <c r="L931" s="8"/>
      <c r="M931" s="8"/>
    </row>
    <row r="932" spans="12:13" ht="15.75" customHeight="1" x14ac:dyDescent="0.15">
      <c r="L932" s="8"/>
      <c r="M932" s="8"/>
    </row>
    <row r="933" spans="12:13" ht="15.75" customHeight="1" x14ac:dyDescent="0.15">
      <c r="L933" s="8"/>
      <c r="M933" s="8"/>
    </row>
    <row r="934" spans="12:13" ht="15.75" customHeight="1" x14ac:dyDescent="0.15">
      <c r="L934" s="8"/>
      <c r="M934" s="8"/>
    </row>
    <row r="935" spans="12:13" ht="15.75" customHeight="1" x14ac:dyDescent="0.15">
      <c r="L935" s="8"/>
      <c r="M935" s="8"/>
    </row>
    <row r="936" spans="12:13" ht="15.75" customHeight="1" x14ac:dyDescent="0.15">
      <c r="L936" s="8"/>
      <c r="M936" s="8"/>
    </row>
    <row r="937" spans="12:13" ht="15.75" customHeight="1" x14ac:dyDescent="0.15">
      <c r="L937" s="8"/>
      <c r="M937" s="8"/>
    </row>
    <row r="938" spans="12:13" ht="15.75" customHeight="1" x14ac:dyDescent="0.15">
      <c r="L938" s="8"/>
      <c r="M938" s="8"/>
    </row>
    <row r="939" spans="12:13" ht="15.75" customHeight="1" x14ac:dyDescent="0.15">
      <c r="L939" s="8"/>
      <c r="M939" s="8"/>
    </row>
    <row r="940" spans="12:13" ht="15.75" customHeight="1" x14ac:dyDescent="0.15">
      <c r="L940" s="8"/>
      <c r="M940" s="8"/>
    </row>
    <row r="941" spans="12:13" ht="15.75" customHeight="1" x14ac:dyDescent="0.15">
      <c r="L941" s="8"/>
      <c r="M941" s="8"/>
    </row>
    <row r="942" spans="12:13" ht="15.75" customHeight="1" x14ac:dyDescent="0.15">
      <c r="L942" s="8"/>
      <c r="M942" s="8"/>
    </row>
    <row r="943" spans="12:13" ht="15.75" customHeight="1" x14ac:dyDescent="0.15">
      <c r="L943" s="8"/>
      <c r="M943" s="8"/>
    </row>
    <row r="944" spans="12:13" ht="15.75" customHeight="1" x14ac:dyDescent="0.15">
      <c r="L944" s="8"/>
      <c r="M944" s="8"/>
    </row>
    <row r="945" spans="12:13" ht="15.75" customHeight="1" x14ac:dyDescent="0.15">
      <c r="L945" s="8"/>
      <c r="M945" s="8"/>
    </row>
    <row r="946" spans="12:13" ht="15.75" customHeight="1" x14ac:dyDescent="0.15">
      <c r="L946" s="8"/>
      <c r="M946" s="8"/>
    </row>
    <row r="947" spans="12:13" ht="15.75" customHeight="1" x14ac:dyDescent="0.15">
      <c r="L947" s="8"/>
      <c r="M947" s="8"/>
    </row>
    <row r="948" spans="12:13" ht="15.75" customHeight="1" x14ac:dyDescent="0.15">
      <c r="L948" s="8"/>
      <c r="M948" s="8"/>
    </row>
    <row r="949" spans="12:13" ht="15.75" customHeight="1" x14ac:dyDescent="0.15">
      <c r="L949" s="8"/>
      <c r="M949" s="8"/>
    </row>
    <row r="950" spans="12:13" ht="15.75" customHeight="1" x14ac:dyDescent="0.15">
      <c r="L950" s="8"/>
      <c r="M950" s="8"/>
    </row>
    <row r="951" spans="12:13" ht="15.75" customHeight="1" x14ac:dyDescent="0.15">
      <c r="L951" s="8"/>
      <c r="M951" s="8"/>
    </row>
    <row r="952" spans="12:13" ht="15.75" customHeight="1" x14ac:dyDescent="0.15">
      <c r="L952" s="8"/>
      <c r="M952" s="8"/>
    </row>
    <row r="953" spans="12:13" ht="15.75" customHeight="1" x14ac:dyDescent="0.15">
      <c r="L953" s="8"/>
      <c r="M953" s="8"/>
    </row>
    <row r="954" spans="12:13" ht="15.75" customHeight="1" x14ac:dyDescent="0.15">
      <c r="L954" s="8"/>
      <c r="M954" s="8"/>
    </row>
    <row r="955" spans="12:13" ht="15.75" customHeight="1" x14ac:dyDescent="0.15">
      <c r="L955" s="8"/>
      <c r="M955" s="8"/>
    </row>
    <row r="956" spans="12:13" ht="15.75" customHeight="1" x14ac:dyDescent="0.15">
      <c r="L956" s="8"/>
      <c r="M956" s="8"/>
    </row>
    <row r="957" spans="12:13" ht="15.75" customHeight="1" x14ac:dyDescent="0.15">
      <c r="L957" s="8"/>
      <c r="M957" s="8"/>
    </row>
    <row r="958" spans="12:13" ht="15.75" customHeight="1" x14ac:dyDescent="0.15">
      <c r="L958" s="8"/>
      <c r="M958" s="8"/>
    </row>
    <row r="959" spans="12:13" ht="15.75" customHeight="1" x14ac:dyDescent="0.15">
      <c r="L959" s="8"/>
      <c r="M959" s="8"/>
    </row>
    <row r="960" spans="12:13" ht="15.75" customHeight="1" x14ac:dyDescent="0.15">
      <c r="L960" s="8"/>
      <c r="M960" s="8"/>
    </row>
    <row r="961" spans="12:13" ht="15.75" customHeight="1" x14ac:dyDescent="0.15">
      <c r="L961" s="8"/>
      <c r="M961" s="8"/>
    </row>
    <row r="962" spans="12:13" ht="15.75" customHeight="1" x14ac:dyDescent="0.15">
      <c r="L962" s="8"/>
      <c r="M962" s="8"/>
    </row>
    <row r="963" spans="12:13" ht="15.75" customHeight="1" x14ac:dyDescent="0.15">
      <c r="L963" s="8"/>
      <c r="M963" s="8"/>
    </row>
    <row r="964" spans="12:13" ht="15.75" customHeight="1" x14ac:dyDescent="0.15">
      <c r="L964" s="8"/>
      <c r="M964" s="8"/>
    </row>
    <row r="965" spans="12:13" ht="15.75" customHeight="1" x14ac:dyDescent="0.15">
      <c r="L965" s="8"/>
      <c r="M965" s="8"/>
    </row>
    <row r="966" spans="12:13" ht="15.75" customHeight="1" x14ac:dyDescent="0.15">
      <c r="L966" s="8"/>
      <c r="M966" s="8"/>
    </row>
    <row r="967" spans="12:13" ht="15.75" customHeight="1" x14ac:dyDescent="0.15">
      <c r="L967" s="8"/>
      <c r="M967" s="8"/>
    </row>
    <row r="968" spans="12:13" ht="15.75" customHeight="1" x14ac:dyDescent="0.15">
      <c r="L968" s="8"/>
      <c r="M968" s="8"/>
    </row>
    <row r="969" spans="12:13" ht="15.75" customHeight="1" x14ac:dyDescent="0.15">
      <c r="L969" s="8"/>
      <c r="M969" s="8"/>
    </row>
    <row r="970" spans="12:13" ht="15.75" customHeight="1" x14ac:dyDescent="0.15">
      <c r="L970" s="8"/>
      <c r="M970" s="8"/>
    </row>
    <row r="971" spans="12:13" ht="15.75" customHeight="1" x14ac:dyDescent="0.15">
      <c r="L971" s="8"/>
      <c r="M971" s="8"/>
    </row>
    <row r="972" spans="12:13" ht="15.75" customHeight="1" x14ac:dyDescent="0.15">
      <c r="L972" s="8"/>
      <c r="M972" s="8"/>
    </row>
    <row r="973" spans="12:13" ht="15.75" customHeight="1" x14ac:dyDescent="0.15">
      <c r="L973" s="8"/>
      <c r="M973" s="8"/>
    </row>
    <row r="974" spans="12:13" ht="15.75" customHeight="1" x14ac:dyDescent="0.15">
      <c r="L974" s="8"/>
      <c r="M974" s="8"/>
    </row>
    <row r="975" spans="12:13" ht="15.75" customHeight="1" x14ac:dyDescent="0.15">
      <c r="L975" s="8"/>
      <c r="M975" s="8"/>
    </row>
    <row r="976" spans="12:13" ht="15.75" customHeight="1" x14ac:dyDescent="0.15">
      <c r="L976" s="8"/>
      <c r="M976" s="8"/>
    </row>
    <row r="977" spans="12:13" ht="15.75" customHeight="1" x14ac:dyDescent="0.15">
      <c r="L977" s="8"/>
      <c r="M977" s="8"/>
    </row>
    <row r="978" spans="12:13" ht="15.75" customHeight="1" x14ac:dyDescent="0.15">
      <c r="L978" s="8"/>
      <c r="M978" s="8"/>
    </row>
    <row r="979" spans="12:13" ht="15.75" customHeight="1" x14ac:dyDescent="0.15">
      <c r="L979" s="8"/>
      <c r="M979" s="8"/>
    </row>
    <row r="980" spans="12:13" ht="15.75" customHeight="1" x14ac:dyDescent="0.15">
      <c r="L980" s="8"/>
      <c r="M980" s="8"/>
    </row>
    <row r="981" spans="12:13" ht="15.75" customHeight="1" x14ac:dyDescent="0.15">
      <c r="L981" s="8"/>
      <c r="M981" s="8"/>
    </row>
    <row r="982" spans="12:13" ht="15.75" customHeight="1" x14ac:dyDescent="0.15">
      <c r="L982" s="8"/>
      <c r="M982" s="8"/>
    </row>
    <row r="983" spans="12:13" ht="15.75" customHeight="1" x14ac:dyDescent="0.15">
      <c r="L983" s="8"/>
      <c r="M983" s="8"/>
    </row>
    <row r="984" spans="12:13" ht="15.75" customHeight="1" x14ac:dyDescent="0.15">
      <c r="L984" s="8"/>
      <c r="M984" s="8"/>
    </row>
    <row r="985" spans="12:13" ht="15.75" customHeight="1" x14ac:dyDescent="0.15">
      <c r="L985" s="8"/>
      <c r="M985" s="8"/>
    </row>
    <row r="986" spans="12:13" ht="15.75" customHeight="1" x14ac:dyDescent="0.15">
      <c r="L986" s="8"/>
      <c r="M986" s="8"/>
    </row>
    <row r="987" spans="12:13" ht="15.75" customHeight="1" x14ac:dyDescent="0.15">
      <c r="L987" s="8"/>
      <c r="M987" s="8"/>
    </row>
    <row r="988" spans="12:13" ht="15.75" customHeight="1" x14ac:dyDescent="0.15">
      <c r="L988" s="8"/>
      <c r="M988" s="8"/>
    </row>
    <row r="989" spans="12:13" ht="15.75" customHeight="1" x14ac:dyDescent="0.15">
      <c r="L989" s="8"/>
      <c r="M989" s="8"/>
    </row>
    <row r="990" spans="12:13" ht="15.75" customHeight="1" x14ac:dyDescent="0.15">
      <c r="L990" s="8"/>
      <c r="M990" s="8"/>
    </row>
    <row r="991" spans="12:13" ht="15.75" customHeight="1" x14ac:dyDescent="0.15">
      <c r="L991" s="8"/>
      <c r="M991" s="8"/>
    </row>
    <row r="992" spans="12:13" ht="15.75" customHeight="1" x14ac:dyDescent="0.15">
      <c r="L992" s="8"/>
      <c r="M992" s="8"/>
    </row>
    <row r="993" spans="12:13" ht="15.75" customHeight="1" x14ac:dyDescent="0.15">
      <c r="L993" s="8"/>
      <c r="M993" s="8"/>
    </row>
    <row r="994" spans="12:13" ht="15.75" customHeight="1" x14ac:dyDescent="0.15">
      <c r="L994" s="8"/>
      <c r="M994" s="8"/>
    </row>
    <row r="995" spans="12:13" ht="15.75" customHeight="1" x14ac:dyDescent="0.15">
      <c r="L995" s="8"/>
      <c r="M995" s="8"/>
    </row>
    <row r="996" spans="12:13" ht="15.75" customHeight="1" x14ac:dyDescent="0.15">
      <c r="L996" s="8"/>
      <c r="M996" s="8"/>
    </row>
    <row r="997" spans="12:13" ht="15.75" customHeight="1" x14ac:dyDescent="0.15">
      <c r="L997" s="8"/>
      <c r="M997" s="8"/>
    </row>
    <row r="998" spans="12:13" ht="15.75" customHeight="1" x14ac:dyDescent="0.15">
      <c r="L998" s="8"/>
      <c r="M998" s="8"/>
    </row>
    <row r="999" spans="12:13" ht="15.75" customHeight="1" x14ac:dyDescent="0.15">
      <c r="L999" s="8"/>
      <c r="M999" s="8"/>
    </row>
    <row r="1000" spans="12:13" ht="15.75" customHeight="1" x14ac:dyDescent="0.15">
      <c r="L1000" s="8"/>
      <c r="M1000" s="8"/>
    </row>
    <row r="1001" spans="12:13" ht="15.75" customHeight="1" x14ac:dyDescent="0.15">
      <c r="L1001" s="8"/>
      <c r="M1001" s="8"/>
    </row>
    <row r="1002" spans="12:13" ht="15.75" customHeight="1" x14ac:dyDescent="0.15">
      <c r="L1002" s="8"/>
      <c r="M1002" s="8"/>
    </row>
    <row r="1003" spans="12:13" ht="15.75" customHeight="1" x14ac:dyDescent="0.15">
      <c r="L1003" s="8"/>
      <c r="M1003" s="8"/>
    </row>
    <row r="1004" spans="12:13" ht="15.75" customHeight="1" x14ac:dyDescent="0.15">
      <c r="L1004" s="8"/>
      <c r="M1004" s="8"/>
    </row>
    <row r="1005" spans="12:13" ht="15.75" customHeight="1" x14ac:dyDescent="0.15">
      <c r="L1005" s="8"/>
      <c r="M1005" s="8"/>
    </row>
    <row r="1006" spans="12:13" ht="15.75" customHeight="1" x14ac:dyDescent="0.15">
      <c r="L1006" s="8"/>
      <c r="M1006" s="8"/>
    </row>
    <row r="1007" spans="12:13" ht="15.75" customHeight="1" x14ac:dyDescent="0.15">
      <c r="L1007" s="8"/>
      <c r="M1007" s="8"/>
    </row>
    <row r="1008" spans="12:13" ht="15.75" customHeight="1" x14ac:dyDescent="0.15">
      <c r="L1008" s="8"/>
      <c r="M1008" s="8"/>
    </row>
    <row r="1009" spans="12:13" ht="15.75" customHeight="1" x14ac:dyDescent="0.15">
      <c r="L1009" s="8"/>
      <c r="M1009" s="8"/>
    </row>
    <row r="1010" spans="12:13" ht="15.75" customHeight="1" x14ac:dyDescent="0.15">
      <c r="L1010" s="8"/>
      <c r="M1010" s="8"/>
    </row>
    <row r="1011" spans="12:13" ht="15.75" customHeight="1" x14ac:dyDescent="0.15">
      <c r="L1011" s="8"/>
      <c r="M1011" s="8"/>
    </row>
    <row r="1012" spans="12:13" ht="15.75" customHeight="1" x14ac:dyDescent="0.15">
      <c r="L1012" s="8"/>
      <c r="M1012" s="8"/>
    </row>
    <row r="1013" spans="12:13" ht="15.75" customHeight="1" x14ac:dyDescent="0.15">
      <c r="L1013" s="8"/>
      <c r="M1013" s="8"/>
    </row>
    <row r="1014" spans="12:13" ht="15.75" customHeight="1" x14ac:dyDescent="0.15">
      <c r="L1014" s="8"/>
      <c r="M1014" s="8"/>
    </row>
    <row r="1015" spans="12:13" ht="15.75" customHeight="1" x14ac:dyDescent="0.15">
      <c r="L1015" s="8"/>
      <c r="M1015" s="8"/>
    </row>
    <row r="1016" spans="12:13" ht="15.75" customHeight="1" x14ac:dyDescent="0.15">
      <c r="L1016" s="8"/>
      <c r="M1016" s="8"/>
    </row>
    <row r="1017" spans="12:13" ht="15.75" customHeight="1" x14ac:dyDescent="0.15">
      <c r="L1017" s="8"/>
      <c r="M1017" s="8"/>
    </row>
    <row r="1018" spans="12:13" ht="15.75" customHeight="1" x14ac:dyDescent="0.15">
      <c r="L1018" s="8"/>
      <c r="M1018" s="8"/>
    </row>
  </sheetData>
  <phoneticPr fontId="12" type="noConversion"/>
  <conditionalFormatting sqref="I2:I44">
    <cfRule type="cellIs" dxfId="33" priority="1" operator="equal">
      <formula>"Failed"</formula>
    </cfRule>
    <cfRule type="cellIs" dxfId="32" priority="2" operator="equal">
      <formula>"Passed"</formula>
    </cfRule>
    <cfRule type="cellIs" dxfId="31" priority="3" operator="equal">
      <formula>"Requirement does not clear"</formula>
    </cfRule>
  </conditionalFormatting>
  <dataValidations count="2">
    <dataValidation type="list" allowBlank="1" showErrorMessage="1" sqref="H2:H44" xr:uid="{00000000-0002-0000-0100-000000000000}">
      <formula1>"Positif,Negatif,Edge"</formula1>
    </dataValidation>
    <dataValidation type="list" allowBlank="1" sqref="I2:I44" xr:uid="{00000000-0002-0000-0100-000001000000}">
      <formula1>"Passed,Failed,Requirement does not clear"</formula1>
    </dataValidation>
  </dataValidation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994"/>
  <sheetViews>
    <sheetView topLeftCell="A13" workbookViewId="0">
      <selection activeCell="A14" sqref="A14"/>
    </sheetView>
  </sheetViews>
  <sheetFormatPr baseColWidth="10" defaultColWidth="12.6640625" defaultRowHeight="15" customHeight="1" x14ac:dyDescent="0.15"/>
  <cols>
    <col min="1" max="1" width="12" customWidth="1"/>
    <col min="4" max="4" width="20.1640625" customWidth="1"/>
    <col min="5" max="5" width="13" customWidth="1"/>
    <col min="7" max="7" width="47.1640625" customWidth="1"/>
    <col min="8" max="8" width="44" customWidth="1"/>
    <col min="11" max="11" width="10.5" customWidth="1"/>
    <col min="12" max="12" width="11.1640625" customWidth="1"/>
  </cols>
  <sheetData>
    <row r="1" spans="1:12" ht="16" x14ac:dyDescent="0.2">
      <c r="A1" s="52" t="s">
        <v>14</v>
      </c>
      <c r="B1" s="53" t="s">
        <v>43</v>
      </c>
      <c r="C1" s="52" t="s">
        <v>277</v>
      </c>
      <c r="D1" s="53" t="s">
        <v>278</v>
      </c>
      <c r="E1" s="52" t="s">
        <v>47</v>
      </c>
      <c r="F1" s="52" t="s">
        <v>48</v>
      </c>
      <c r="G1" s="52" t="s">
        <v>49</v>
      </c>
      <c r="H1" s="52" t="s">
        <v>279</v>
      </c>
      <c r="I1" s="52" t="s">
        <v>52</v>
      </c>
      <c r="J1" s="52" t="s">
        <v>53</v>
      </c>
      <c r="K1" s="52" t="s">
        <v>56</v>
      </c>
      <c r="L1" s="54" t="s">
        <v>58</v>
      </c>
    </row>
    <row r="2" spans="1:12" ht="210" x14ac:dyDescent="0.15">
      <c r="A2" s="50" t="s">
        <v>280</v>
      </c>
      <c r="B2" s="10" t="s">
        <v>21</v>
      </c>
      <c r="C2" s="18" t="s">
        <v>39</v>
      </c>
      <c r="D2" s="10" t="s">
        <v>60</v>
      </c>
      <c r="E2" s="10" t="s">
        <v>61</v>
      </c>
      <c r="F2" s="23" t="s">
        <v>63</v>
      </c>
      <c r="G2" s="10" t="s">
        <v>65</v>
      </c>
      <c r="H2" s="18"/>
      <c r="I2" s="23" t="s">
        <v>68</v>
      </c>
      <c r="J2" s="24">
        <v>46200</v>
      </c>
      <c r="K2" s="9" t="s">
        <v>32</v>
      </c>
      <c r="L2" s="51" t="s">
        <v>25</v>
      </c>
    </row>
    <row r="3" spans="1:12" ht="210" x14ac:dyDescent="0.15">
      <c r="A3" s="50" t="s">
        <v>281</v>
      </c>
      <c r="B3" s="10" t="s">
        <v>21</v>
      </c>
      <c r="C3" s="18" t="s">
        <v>50</v>
      </c>
      <c r="D3" s="10" t="s">
        <v>70</v>
      </c>
      <c r="E3" s="10" t="s">
        <v>61</v>
      </c>
      <c r="F3" s="23" t="s">
        <v>63</v>
      </c>
      <c r="G3" s="10" t="s">
        <v>73</v>
      </c>
      <c r="H3" s="9"/>
      <c r="I3" s="23" t="s">
        <v>68</v>
      </c>
      <c r="J3" s="24">
        <v>46200</v>
      </c>
      <c r="K3" s="9" t="s">
        <v>32</v>
      </c>
      <c r="L3" s="51"/>
    </row>
    <row r="4" spans="1:12" ht="224" x14ac:dyDescent="0.15">
      <c r="A4" s="50" t="s">
        <v>282</v>
      </c>
      <c r="B4" s="10" t="s">
        <v>21</v>
      </c>
      <c r="C4" s="18" t="s">
        <v>62</v>
      </c>
      <c r="D4" s="10" t="s">
        <v>76</v>
      </c>
      <c r="E4" s="10" t="s">
        <v>61</v>
      </c>
      <c r="F4" s="23" t="s">
        <v>63</v>
      </c>
      <c r="G4" s="10" t="s">
        <v>84</v>
      </c>
      <c r="H4" s="18"/>
      <c r="I4" s="23" t="s">
        <v>68</v>
      </c>
      <c r="J4" s="25">
        <v>46200</v>
      </c>
      <c r="K4" s="9" t="s">
        <v>32</v>
      </c>
      <c r="L4" s="51"/>
    </row>
    <row r="5" spans="1:12" ht="238" x14ac:dyDescent="0.15">
      <c r="A5" s="50" t="s">
        <v>283</v>
      </c>
      <c r="B5" s="10" t="s">
        <v>21</v>
      </c>
      <c r="C5" s="18" t="s">
        <v>71</v>
      </c>
      <c r="D5" s="10" t="s">
        <v>93</v>
      </c>
      <c r="E5" s="10" t="s">
        <v>61</v>
      </c>
      <c r="F5" s="23" t="s">
        <v>63</v>
      </c>
      <c r="G5" s="10" t="s">
        <v>95</v>
      </c>
      <c r="H5" s="9"/>
      <c r="I5" s="23" t="s">
        <v>68</v>
      </c>
      <c r="J5" s="24">
        <v>46200</v>
      </c>
      <c r="K5" s="9" t="s">
        <v>32</v>
      </c>
      <c r="L5" s="51"/>
    </row>
    <row r="6" spans="1:12" ht="238" x14ac:dyDescent="0.15">
      <c r="A6" s="50" t="s">
        <v>284</v>
      </c>
      <c r="B6" s="10" t="s">
        <v>21</v>
      </c>
      <c r="C6" s="18" t="s">
        <v>78</v>
      </c>
      <c r="D6" s="10" t="s">
        <v>100</v>
      </c>
      <c r="E6" s="10" t="s">
        <v>61</v>
      </c>
      <c r="F6" s="23" t="s">
        <v>63</v>
      </c>
      <c r="G6" s="10" t="s">
        <v>104</v>
      </c>
      <c r="H6" s="9"/>
      <c r="I6" s="23" t="s">
        <v>68</v>
      </c>
      <c r="J6" s="24">
        <v>46200</v>
      </c>
      <c r="K6" s="9" t="s">
        <v>32</v>
      </c>
      <c r="L6" s="51"/>
    </row>
    <row r="7" spans="1:12" ht="224" x14ac:dyDescent="0.15">
      <c r="A7" s="50" t="s">
        <v>285</v>
      </c>
      <c r="B7" s="10" t="s">
        <v>110</v>
      </c>
      <c r="C7" s="18" t="s">
        <v>112</v>
      </c>
      <c r="D7" s="10" t="s">
        <v>113</v>
      </c>
      <c r="E7" s="10" t="s">
        <v>101</v>
      </c>
      <c r="F7" s="23" t="s">
        <v>106</v>
      </c>
      <c r="G7" s="10" t="s">
        <v>117</v>
      </c>
      <c r="H7" s="18"/>
      <c r="I7" s="23" t="s">
        <v>68</v>
      </c>
      <c r="J7" s="24">
        <v>46200</v>
      </c>
      <c r="K7" s="9" t="s">
        <v>32</v>
      </c>
      <c r="L7" s="51"/>
    </row>
    <row r="8" spans="1:12" ht="319" x14ac:dyDescent="0.15">
      <c r="A8" s="50" t="s">
        <v>286</v>
      </c>
      <c r="B8" s="10" t="s">
        <v>122</v>
      </c>
      <c r="C8" s="18" t="s">
        <v>123</v>
      </c>
      <c r="D8" s="10" t="s">
        <v>124</v>
      </c>
      <c r="E8" s="10" t="s">
        <v>102</v>
      </c>
      <c r="F8" s="23" t="s">
        <v>107</v>
      </c>
      <c r="G8" s="10" t="s">
        <v>127</v>
      </c>
      <c r="H8" s="9"/>
      <c r="I8" s="23" t="s">
        <v>68</v>
      </c>
      <c r="J8" s="24">
        <v>46200</v>
      </c>
      <c r="K8" s="9" t="s">
        <v>32</v>
      </c>
      <c r="L8" s="51"/>
    </row>
    <row r="9" spans="1:12" ht="319" x14ac:dyDescent="0.15">
      <c r="A9" s="50" t="s">
        <v>287</v>
      </c>
      <c r="B9" s="10" t="s">
        <v>122</v>
      </c>
      <c r="C9" s="18" t="s">
        <v>132</v>
      </c>
      <c r="D9" s="10" t="s">
        <v>133</v>
      </c>
      <c r="E9" s="10" t="s">
        <v>102</v>
      </c>
      <c r="F9" s="23" t="s">
        <v>107</v>
      </c>
      <c r="G9" s="10" t="s">
        <v>136</v>
      </c>
      <c r="H9" s="9"/>
      <c r="I9" s="23" t="s">
        <v>68</v>
      </c>
      <c r="J9" s="24">
        <v>46200</v>
      </c>
      <c r="K9" s="9" t="s">
        <v>32</v>
      </c>
      <c r="L9" s="51"/>
    </row>
    <row r="10" spans="1:12" ht="319" x14ac:dyDescent="0.15">
      <c r="A10" s="50" t="s">
        <v>288</v>
      </c>
      <c r="B10" s="10" t="s">
        <v>122</v>
      </c>
      <c r="C10" s="18" t="s">
        <v>139</v>
      </c>
      <c r="D10" s="10" t="s">
        <v>140</v>
      </c>
      <c r="E10" s="10" t="s">
        <v>102</v>
      </c>
      <c r="F10" s="23" t="s">
        <v>107</v>
      </c>
      <c r="G10" s="10" t="s">
        <v>143</v>
      </c>
      <c r="H10" s="9"/>
      <c r="I10" s="23" t="s">
        <v>68</v>
      </c>
      <c r="J10" s="24">
        <v>46200</v>
      </c>
      <c r="K10" s="9" t="s">
        <v>32</v>
      </c>
      <c r="L10" s="51"/>
    </row>
    <row r="11" spans="1:12" ht="345" x14ac:dyDescent="0.15">
      <c r="A11" s="50" t="s">
        <v>289</v>
      </c>
      <c r="B11" s="10" t="s">
        <v>122</v>
      </c>
      <c r="C11" s="18" t="s">
        <v>144</v>
      </c>
      <c r="D11" s="10" t="s">
        <v>146</v>
      </c>
      <c r="E11" s="10" t="s">
        <v>102</v>
      </c>
      <c r="F11" s="23" t="s">
        <v>107</v>
      </c>
      <c r="G11" s="10" t="s">
        <v>150</v>
      </c>
      <c r="H11" s="9"/>
      <c r="I11" s="23" t="s">
        <v>68</v>
      </c>
      <c r="J11" s="24">
        <v>46200</v>
      </c>
      <c r="K11" s="9" t="s">
        <v>32</v>
      </c>
      <c r="L11" s="51"/>
    </row>
    <row r="12" spans="1:12" ht="345" x14ac:dyDescent="0.15">
      <c r="A12" s="50" t="s">
        <v>290</v>
      </c>
      <c r="B12" s="10" t="s">
        <v>152</v>
      </c>
      <c r="C12" s="18" t="s">
        <v>153</v>
      </c>
      <c r="D12" s="10" t="s">
        <v>154</v>
      </c>
      <c r="E12" s="10" t="s">
        <v>102</v>
      </c>
      <c r="F12" s="23" t="s">
        <v>106</v>
      </c>
      <c r="G12" s="10" t="s">
        <v>155</v>
      </c>
      <c r="H12" s="18"/>
      <c r="I12" s="23" t="s">
        <v>68</v>
      </c>
      <c r="J12" s="24">
        <v>46200</v>
      </c>
      <c r="K12" s="9" t="s">
        <v>32</v>
      </c>
      <c r="L12" s="51"/>
    </row>
    <row r="13" spans="1:12" ht="315" customHeight="1" x14ac:dyDescent="0.15">
      <c r="A13" s="55" t="s">
        <v>291</v>
      </c>
      <c r="B13" s="56" t="s">
        <v>156</v>
      </c>
      <c r="C13" s="57" t="s">
        <v>157</v>
      </c>
      <c r="D13" s="56" t="s">
        <v>158</v>
      </c>
      <c r="E13" s="56" t="s">
        <v>102</v>
      </c>
      <c r="F13" s="58" t="s">
        <v>107</v>
      </c>
      <c r="G13" s="56" t="s">
        <v>161</v>
      </c>
      <c r="H13" s="57"/>
      <c r="I13" s="58" t="s">
        <v>68</v>
      </c>
      <c r="J13" s="59">
        <v>46200</v>
      </c>
      <c r="K13" s="60" t="s">
        <v>32</v>
      </c>
      <c r="L13" s="61"/>
    </row>
    <row r="14" spans="1:12" x14ac:dyDescent="0.15">
      <c r="A14" s="18"/>
      <c r="B14" s="10"/>
      <c r="C14" s="18"/>
      <c r="D14" s="10"/>
      <c r="E14" s="10"/>
      <c r="F14" s="23"/>
      <c r="G14" s="10"/>
      <c r="H14" s="18"/>
      <c r="I14" s="23"/>
      <c r="J14" s="10"/>
      <c r="K14" s="9"/>
      <c r="L14" s="9"/>
    </row>
    <row r="15" spans="1:12" x14ac:dyDescent="0.15">
      <c r="A15" s="18"/>
      <c r="B15" s="10"/>
      <c r="C15" s="18"/>
      <c r="D15" s="10"/>
      <c r="E15" s="10"/>
      <c r="F15" s="23"/>
      <c r="G15" s="10"/>
      <c r="H15" s="18"/>
      <c r="I15" s="23"/>
      <c r="J15" s="10"/>
      <c r="K15" s="9"/>
      <c r="L15" s="9"/>
    </row>
    <row r="16" spans="1:12" x14ac:dyDescent="0.15">
      <c r="A16" s="18"/>
      <c r="B16" s="10"/>
      <c r="C16" s="18"/>
      <c r="D16" s="10"/>
      <c r="E16" s="10"/>
      <c r="F16" s="23"/>
      <c r="G16" s="10"/>
      <c r="H16" s="18"/>
      <c r="I16" s="23"/>
      <c r="J16" s="10"/>
      <c r="K16" s="9"/>
      <c r="L16" s="9"/>
    </row>
    <row r="17" spans="1:2" ht="13" x14ac:dyDescent="0.15">
      <c r="B17" s="33"/>
    </row>
    <row r="18" spans="1:2" ht="13" x14ac:dyDescent="0.15">
      <c r="B18" s="33"/>
    </row>
    <row r="19" spans="1:2" ht="13" x14ac:dyDescent="0.15">
      <c r="B19" s="33"/>
    </row>
    <row r="20" spans="1:2" ht="13" x14ac:dyDescent="0.15">
      <c r="A20" s="34"/>
      <c r="B20" s="33"/>
    </row>
    <row r="21" spans="1:2" ht="13" x14ac:dyDescent="0.15">
      <c r="B21" s="33"/>
    </row>
    <row r="22" spans="1:2" ht="13" x14ac:dyDescent="0.15">
      <c r="B22" s="33"/>
    </row>
    <row r="23" spans="1:2" ht="13" x14ac:dyDescent="0.15">
      <c r="B23" s="33"/>
    </row>
    <row r="24" spans="1:2" ht="13" x14ac:dyDescent="0.15">
      <c r="B24" s="33"/>
    </row>
    <row r="25" spans="1:2" ht="13" x14ac:dyDescent="0.15">
      <c r="B25" s="33"/>
    </row>
    <row r="26" spans="1:2" ht="13" x14ac:dyDescent="0.15">
      <c r="B26" s="33"/>
    </row>
    <row r="27" spans="1:2" ht="13" x14ac:dyDescent="0.15">
      <c r="B27" s="33"/>
    </row>
    <row r="28" spans="1:2" ht="13" x14ac:dyDescent="0.15">
      <c r="B28" s="33"/>
    </row>
    <row r="29" spans="1:2" ht="13" x14ac:dyDescent="0.15">
      <c r="B29" s="33"/>
    </row>
    <row r="30" spans="1:2" ht="13" x14ac:dyDescent="0.15">
      <c r="B30" s="33"/>
    </row>
    <row r="31" spans="1:2" ht="13" x14ac:dyDescent="0.15">
      <c r="B31" s="33"/>
    </row>
    <row r="32" spans="1:2" ht="13" x14ac:dyDescent="0.15">
      <c r="B32" s="33"/>
    </row>
    <row r="33" spans="2:2" ht="13" x14ac:dyDescent="0.15">
      <c r="B33" s="33"/>
    </row>
    <row r="34" spans="2:2" ht="13" x14ac:dyDescent="0.15">
      <c r="B34" s="33"/>
    </row>
    <row r="35" spans="2:2" ht="13" x14ac:dyDescent="0.15">
      <c r="B35" s="33"/>
    </row>
    <row r="36" spans="2:2" ht="13" x14ac:dyDescent="0.15">
      <c r="B36" s="33"/>
    </row>
    <row r="37" spans="2:2" ht="13" x14ac:dyDescent="0.15">
      <c r="B37" s="33"/>
    </row>
    <row r="38" spans="2:2" ht="13" x14ac:dyDescent="0.15">
      <c r="B38" s="33"/>
    </row>
    <row r="39" spans="2:2" ht="13" x14ac:dyDescent="0.15">
      <c r="B39" s="33"/>
    </row>
    <row r="40" spans="2:2" ht="13" x14ac:dyDescent="0.15">
      <c r="B40" s="33"/>
    </row>
    <row r="41" spans="2:2" ht="13" x14ac:dyDescent="0.15">
      <c r="B41" s="33"/>
    </row>
    <row r="42" spans="2:2" ht="13" x14ac:dyDescent="0.15">
      <c r="B42" s="33"/>
    </row>
    <row r="43" spans="2:2" ht="13" x14ac:dyDescent="0.15">
      <c r="B43" s="33"/>
    </row>
    <row r="44" spans="2:2" ht="13" x14ac:dyDescent="0.15">
      <c r="B44" s="33"/>
    </row>
    <row r="45" spans="2:2" ht="13" x14ac:dyDescent="0.15">
      <c r="B45" s="33"/>
    </row>
    <row r="46" spans="2:2" ht="13" x14ac:dyDescent="0.15">
      <c r="B46" s="33"/>
    </row>
    <row r="47" spans="2:2" ht="13" x14ac:dyDescent="0.15">
      <c r="B47" s="33"/>
    </row>
    <row r="48" spans="2:2" ht="13" x14ac:dyDescent="0.15">
      <c r="B48" s="33"/>
    </row>
    <row r="49" spans="2:2" ht="13" x14ac:dyDescent="0.15">
      <c r="B49" s="33"/>
    </row>
    <row r="50" spans="2:2" ht="13" x14ac:dyDescent="0.15">
      <c r="B50" s="33"/>
    </row>
    <row r="51" spans="2:2" ht="13" x14ac:dyDescent="0.15">
      <c r="B51" s="33"/>
    </row>
    <row r="52" spans="2:2" ht="13" x14ac:dyDescent="0.15">
      <c r="B52" s="33"/>
    </row>
    <row r="53" spans="2:2" ht="13" x14ac:dyDescent="0.15">
      <c r="B53" s="33"/>
    </row>
    <row r="54" spans="2:2" ht="13" x14ac:dyDescent="0.15">
      <c r="B54" s="33"/>
    </row>
    <row r="55" spans="2:2" ht="13" x14ac:dyDescent="0.15">
      <c r="B55" s="33"/>
    </row>
    <row r="56" spans="2:2" ht="13" x14ac:dyDescent="0.15">
      <c r="B56" s="33"/>
    </row>
    <row r="57" spans="2:2" ht="13" x14ac:dyDescent="0.15">
      <c r="B57" s="33"/>
    </row>
    <row r="58" spans="2:2" ht="13" x14ac:dyDescent="0.15">
      <c r="B58" s="33"/>
    </row>
    <row r="59" spans="2:2" ht="13" x14ac:dyDescent="0.15">
      <c r="B59" s="33"/>
    </row>
    <row r="60" spans="2:2" ht="13" x14ac:dyDescent="0.15">
      <c r="B60" s="33"/>
    </row>
    <row r="61" spans="2:2" ht="13" x14ac:dyDescent="0.15">
      <c r="B61" s="33"/>
    </row>
    <row r="62" spans="2:2" ht="13" x14ac:dyDescent="0.15">
      <c r="B62" s="33"/>
    </row>
    <row r="63" spans="2:2" ht="13" x14ac:dyDescent="0.15">
      <c r="B63" s="33"/>
    </row>
    <row r="64" spans="2:2" ht="13" x14ac:dyDescent="0.15">
      <c r="B64" s="33"/>
    </row>
    <row r="65" spans="2:2" ht="13" x14ac:dyDescent="0.15">
      <c r="B65" s="33"/>
    </row>
    <row r="66" spans="2:2" ht="13" x14ac:dyDescent="0.15">
      <c r="B66" s="33"/>
    </row>
    <row r="67" spans="2:2" ht="13" x14ac:dyDescent="0.15">
      <c r="B67" s="33"/>
    </row>
    <row r="68" spans="2:2" ht="13" x14ac:dyDescent="0.15">
      <c r="B68" s="33"/>
    </row>
    <row r="69" spans="2:2" ht="13" x14ac:dyDescent="0.15">
      <c r="B69" s="33"/>
    </row>
    <row r="70" spans="2:2" ht="13" x14ac:dyDescent="0.15">
      <c r="B70" s="33"/>
    </row>
    <row r="71" spans="2:2" ht="13" x14ac:dyDescent="0.15">
      <c r="B71" s="33"/>
    </row>
    <row r="72" spans="2:2" ht="13" x14ac:dyDescent="0.15">
      <c r="B72" s="33"/>
    </row>
    <row r="73" spans="2:2" ht="13" x14ac:dyDescent="0.15">
      <c r="B73" s="33"/>
    </row>
    <row r="74" spans="2:2" ht="13" x14ac:dyDescent="0.15">
      <c r="B74" s="33"/>
    </row>
    <row r="75" spans="2:2" ht="13" x14ac:dyDescent="0.15">
      <c r="B75" s="33"/>
    </row>
    <row r="76" spans="2:2" ht="13" x14ac:dyDescent="0.15">
      <c r="B76" s="33"/>
    </row>
    <row r="77" spans="2:2" ht="13" x14ac:dyDescent="0.15">
      <c r="B77" s="33"/>
    </row>
    <row r="78" spans="2:2" ht="13" x14ac:dyDescent="0.15">
      <c r="B78" s="33"/>
    </row>
    <row r="79" spans="2:2" ht="13" x14ac:dyDescent="0.15">
      <c r="B79" s="33"/>
    </row>
    <row r="80" spans="2:2" ht="13" x14ac:dyDescent="0.15">
      <c r="B80" s="33"/>
    </row>
    <row r="81" spans="2:2" ht="13" x14ac:dyDescent="0.15">
      <c r="B81" s="33"/>
    </row>
    <row r="82" spans="2:2" ht="13" x14ac:dyDescent="0.15">
      <c r="B82" s="33"/>
    </row>
    <row r="83" spans="2:2" ht="13" x14ac:dyDescent="0.15">
      <c r="B83" s="33"/>
    </row>
    <row r="84" spans="2:2" ht="13" x14ac:dyDescent="0.15">
      <c r="B84" s="33"/>
    </row>
    <row r="85" spans="2:2" ht="13" x14ac:dyDescent="0.15">
      <c r="B85" s="33"/>
    </row>
    <row r="86" spans="2:2" ht="13" x14ac:dyDescent="0.15">
      <c r="B86" s="33"/>
    </row>
    <row r="87" spans="2:2" ht="13" x14ac:dyDescent="0.15">
      <c r="B87" s="33"/>
    </row>
    <row r="88" spans="2:2" ht="13" x14ac:dyDescent="0.15">
      <c r="B88" s="33"/>
    </row>
    <row r="89" spans="2:2" ht="13" x14ac:dyDescent="0.15">
      <c r="B89" s="33"/>
    </row>
    <row r="90" spans="2:2" ht="13" x14ac:dyDescent="0.15">
      <c r="B90" s="33"/>
    </row>
    <row r="91" spans="2:2" ht="13" x14ac:dyDescent="0.15">
      <c r="B91" s="33"/>
    </row>
    <row r="92" spans="2:2" ht="13" x14ac:dyDescent="0.15">
      <c r="B92" s="33"/>
    </row>
    <row r="93" spans="2:2" ht="13" x14ac:dyDescent="0.15">
      <c r="B93" s="33"/>
    </row>
    <row r="94" spans="2:2" ht="13" x14ac:dyDescent="0.15">
      <c r="B94" s="33"/>
    </row>
    <row r="95" spans="2:2" ht="13" x14ac:dyDescent="0.15">
      <c r="B95" s="33"/>
    </row>
    <row r="96" spans="2:2" ht="13" x14ac:dyDescent="0.15">
      <c r="B96" s="33"/>
    </row>
    <row r="97" spans="2:2" ht="13" x14ac:dyDescent="0.15">
      <c r="B97" s="33"/>
    </row>
    <row r="98" spans="2:2" ht="13" x14ac:dyDescent="0.15">
      <c r="B98" s="33"/>
    </row>
    <row r="99" spans="2:2" ht="13" x14ac:dyDescent="0.15">
      <c r="B99" s="33"/>
    </row>
    <row r="100" spans="2:2" ht="13" x14ac:dyDescent="0.15">
      <c r="B100" s="33"/>
    </row>
    <row r="101" spans="2:2" ht="13" x14ac:dyDescent="0.15">
      <c r="B101" s="33"/>
    </row>
    <row r="102" spans="2:2" ht="13" x14ac:dyDescent="0.15">
      <c r="B102" s="33"/>
    </row>
    <row r="103" spans="2:2" ht="13" x14ac:dyDescent="0.15">
      <c r="B103" s="33"/>
    </row>
    <row r="104" spans="2:2" ht="13" x14ac:dyDescent="0.15">
      <c r="B104" s="33"/>
    </row>
    <row r="105" spans="2:2" ht="13" x14ac:dyDescent="0.15">
      <c r="B105" s="33"/>
    </row>
    <row r="106" spans="2:2" ht="13" x14ac:dyDescent="0.15">
      <c r="B106" s="33"/>
    </row>
    <row r="107" spans="2:2" ht="13" x14ac:dyDescent="0.15">
      <c r="B107" s="33"/>
    </row>
    <row r="108" spans="2:2" ht="13" x14ac:dyDescent="0.15">
      <c r="B108" s="33"/>
    </row>
    <row r="109" spans="2:2" ht="13" x14ac:dyDescent="0.15">
      <c r="B109" s="33"/>
    </row>
    <row r="110" spans="2:2" ht="13" x14ac:dyDescent="0.15">
      <c r="B110" s="33"/>
    </row>
    <row r="111" spans="2:2" ht="13" x14ac:dyDescent="0.15">
      <c r="B111" s="33"/>
    </row>
    <row r="112" spans="2:2" ht="13" x14ac:dyDescent="0.15">
      <c r="B112" s="33"/>
    </row>
    <row r="113" spans="2:2" ht="13" x14ac:dyDescent="0.15">
      <c r="B113" s="33"/>
    </row>
    <row r="114" spans="2:2" ht="13" x14ac:dyDescent="0.15">
      <c r="B114" s="33"/>
    </row>
    <row r="115" spans="2:2" ht="13" x14ac:dyDescent="0.15">
      <c r="B115" s="33"/>
    </row>
    <row r="116" spans="2:2" ht="13" x14ac:dyDescent="0.15">
      <c r="B116" s="33"/>
    </row>
    <row r="117" spans="2:2" ht="13" x14ac:dyDescent="0.15">
      <c r="B117" s="33"/>
    </row>
    <row r="118" spans="2:2" ht="13" x14ac:dyDescent="0.15">
      <c r="B118" s="33"/>
    </row>
    <row r="119" spans="2:2" ht="13" x14ac:dyDescent="0.15">
      <c r="B119" s="33"/>
    </row>
    <row r="120" spans="2:2" ht="13" x14ac:dyDescent="0.15">
      <c r="B120" s="33"/>
    </row>
    <row r="121" spans="2:2" ht="13" x14ac:dyDescent="0.15">
      <c r="B121" s="33"/>
    </row>
    <row r="122" spans="2:2" ht="13" x14ac:dyDescent="0.15">
      <c r="B122" s="33"/>
    </row>
    <row r="123" spans="2:2" ht="13" x14ac:dyDescent="0.15">
      <c r="B123" s="33"/>
    </row>
    <row r="124" spans="2:2" ht="13" x14ac:dyDescent="0.15">
      <c r="B124" s="33"/>
    </row>
    <row r="125" spans="2:2" ht="13" x14ac:dyDescent="0.15">
      <c r="B125" s="33"/>
    </row>
    <row r="126" spans="2:2" ht="13" x14ac:dyDescent="0.15">
      <c r="B126" s="33"/>
    </row>
    <row r="127" spans="2:2" ht="13" x14ac:dyDescent="0.15">
      <c r="B127" s="33"/>
    </row>
    <row r="128" spans="2:2" ht="13" x14ac:dyDescent="0.15">
      <c r="B128" s="33"/>
    </row>
    <row r="129" spans="2:2" ht="13" x14ac:dyDescent="0.15">
      <c r="B129" s="33"/>
    </row>
    <row r="130" spans="2:2" ht="13" x14ac:dyDescent="0.15">
      <c r="B130" s="33"/>
    </row>
    <row r="131" spans="2:2" ht="13" x14ac:dyDescent="0.15">
      <c r="B131" s="33"/>
    </row>
    <row r="132" spans="2:2" ht="13" x14ac:dyDescent="0.15">
      <c r="B132" s="33"/>
    </row>
    <row r="133" spans="2:2" ht="13" x14ac:dyDescent="0.15">
      <c r="B133" s="33"/>
    </row>
    <row r="134" spans="2:2" ht="13" x14ac:dyDescent="0.15">
      <c r="B134" s="33"/>
    </row>
    <row r="135" spans="2:2" ht="13" x14ac:dyDescent="0.15">
      <c r="B135" s="33"/>
    </row>
    <row r="136" spans="2:2" ht="13" x14ac:dyDescent="0.15">
      <c r="B136" s="33"/>
    </row>
    <row r="137" spans="2:2" ht="13" x14ac:dyDescent="0.15">
      <c r="B137" s="33"/>
    </row>
    <row r="138" spans="2:2" ht="13" x14ac:dyDescent="0.15">
      <c r="B138" s="33"/>
    </row>
    <row r="139" spans="2:2" ht="13" x14ac:dyDescent="0.15">
      <c r="B139" s="33"/>
    </row>
    <row r="140" spans="2:2" ht="13" x14ac:dyDescent="0.15">
      <c r="B140" s="33"/>
    </row>
    <row r="141" spans="2:2" ht="13" x14ac:dyDescent="0.15">
      <c r="B141" s="33"/>
    </row>
    <row r="142" spans="2:2" ht="13" x14ac:dyDescent="0.15">
      <c r="B142" s="33"/>
    </row>
    <row r="143" spans="2:2" ht="13" x14ac:dyDescent="0.15">
      <c r="B143" s="33"/>
    </row>
    <row r="144" spans="2:2" ht="13" x14ac:dyDescent="0.15">
      <c r="B144" s="33"/>
    </row>
    <row r="145" spans="2:2" ht="13" x14ac:dyDescent="0.15">
      <c r="B145" s="33"/>
    </row>
    <row r="146" spans="2:2" ht="13" x14ac:dyDescent="0.15">
      <c r="B146" s="33"/>
    </row>
    <row r="147" spans="2:2" ht="13" x14ac:dyDescent="0.15">
      <c r="B147" s="33"/>
    </row>
    <row r="148" spans="2:2" ht="13" x14ac:dyDescent="0.15">
      <c r="B148" s="33"/>
    </row>
    <row r="149" spans="2:2" ht="13" x14ac:dyDescent="0.15">
      <c r="B149" s="33"/>
    </row>
    <row r="150" spans="2:2" ht="13" x14ac:dyDescent="0.15">
      <c r="B150" s="33"/>
    </row>
    <row r="151" spans="2:2" ht="13" x14ac:dyDescent="0.15">
      <c r="B151" s="33"/>
    </row>
    <row r="152" spans="2:2" ht="13" x14ac:dyDescent="0.15">
      <c r="B152" s="33"/>
    </row>
    <row r="153" spans="2:2" ht="13" x14ac:dyDescent="0.15">
      <c r="B153" s="33"/>
    </row>
    <row r="154" spans="2:2" ht="13" x14ac:dyDescent="0.15">
      <c r="B154" s="33"/>
    </row>
    <row r="155" spans="2:2" ht="13" x14ac:dyDescent="0.15">
      <c r="B155" s="33"/>
    </row>
    <row r="156" spans="2:2" ht="13" x14ac:dyDescent="0.15">
      <c r="B156" s="33"/>
    </row>
    <row r="157" spans="2:2" ht="13" x14ac:dyDescent="0.15">
      <c r="B157" s="33"/>
    </row>
    <row r="158" spans="2:2" ht="13" x14ac:dyDescent="0.15">
      <c r="B158" s="33"/>
    </row>
    <row r="159" spans="2:2" ht="13" x14ac:dyDescent="0.15">
      <c r="B159" s="33"/>
    </row>
    <row r="160" spans="2:2" ht="13" x14ac:dyDescent="0.15">
      <c r="B160" s="33"/>
    </row>
    <row r="161" spans="2:2" ht="13" x14ac:dyDescent="0.15">
      <c r="B161" s="33"/>
    </row>
    <row r="162" spans="2:2" ht="13" x14ac:dyDescent="0.15">
      <c r="B162" s="33"/>
    </row>
    <row r="163" spans="2:2" ht="13" x14ac:dyDescent="0.15">
      <c r="B163" s="33"/>
    </row>
    <row r="164" spans="2:2" ht="13" x14ac:dyDescent="0.15">
      <c r="B164" s="33"/>
    </row>
    <row r="165" spans="2:2" ht="13" x14ac:dyDescent="0.15">
      <c r="B165" s="33"/>
    </row>
    <row r="166" spans="2:2" ht="13" x14ac:dyDescent="0.15">
      <c r="B166" s="33"/>
    </row>
    <row r="167" spans="2:2" ht="13" x14ac:dyDescent="0.15">
      <c r="B167" s="33"/>
    </row>
    <row r="168" spans="2:2" ht="13" x14ac:dyDescent="0.15">
      <c r="B168" s="33"/>
    </row>
    <row r="169" spans="2:2" ht="13" x14ac:dyDescent="0.15">
      <c r="B169" s="33"/>
    </row>
    <row r="170" spans="2:2" ht="13" x14ac:dyDescent="0.15">
      <c r="B170" s="33"/>
    </row>
    <row r="171" spans="2:2" ht="13" x14ac:dyDescent="0.15">
      <c r="B171" s="33"/>
    </row>
    <row r="172" spans="2:2" ht="13" x14ac:dyDescent="0.15">
      <c r="B172" s="33"/>
    </row>
    <row r="173" spans="2:2" ht="13" x14ac:dyDescent="0.15">
      <c r="B173" s="33"/>
    </row>
    <row r="174" spans="2:2" ht="13" x14ac:dyDescent="0.15">
      <c r="B174" s="33"/>
    </row>
    <row r="175" spans="2:2" ht="13" x14ac:dyDescent="0.15">
      <c r="B175" s="33"/>
    </row>
    <row r="176" spans="2:2" ht="13" x14ac:dyDescent="0.15">
      <c r="B176" s="33"/>
    </row>
    <row r="177" spans="2:2" ht="13" x14ac:dyDescent="0.15">
      <c r="B177" s="33"/>
    </row>
    <row r="178" spans="2:2" ht="13" x14ac:dyDescent="0.15">
      <c r="B178" s="33"/>
    </row>
    <row r="179" spans="2:2" ht="13" x14ac:dyDescent="0.15">
      <c r="B179" s="33"/>
    </row>
    <row r="180" spans="2:2" ht="13" x14ac:dyDescent="0.15">
      <c r="B180" s="33"/>
    </row>
    <row r="181" spans="2:2" ht="13" x14ac:dyDescent="0.15">
      <c r="B181" s="33"/>
    </row>
    <row r="182" spans="2:2" ht="13" x14ac:dyDescent="0.15">
      <c r="B182" s="33"/>
    </row>
    <row r="183" spans="2:2" ht="13" x14ac:dyDescent="0.15">
      <c r="B183" s="33"/>
    </row>
    <row r="184" spans="2:2" ht="13" x14ac:dyDescent="0.15">
      <c r="B184" s="33"/>
    </row>
    <row r="185" spans="2:2" ht="13" x14ac:dyDescent="0.15">
      <c r="B185" s="33"/>
    </row>
    <row r="186" spans="2:2" ht="13" x14ac:dyDescent="0.15">
      <c r="B186" s="33"/>
    </row>
    <row r="187" spans="2:2" ht="13" x14ac:dyDescent="0.15">
      <c r="B187" s="33"/>
    </row>
    <row r="188" spans="2:2" ht="13" x14ac:dyDescent="0.15">
      <c r="B188" s="33"/>
    </row>
    <row r="189" spans="2:2" ht="13" x14ac:dyDescent="0.15">
      <c r="B189" s="33"/>
    </row>
    <row r="190" spans="2:2" ht="13" x14ac:dyDescent="0.15">
      <c r="B190" s="33"/>
    </row>
    <row r="191" spans="2:2" ht="13" x14ac:dyDescent="0.15">
      <c r="B191" s="33"/>
    </row>
    <row r="192" spans="2:2" ht="13" x14ac:dyDescent="0.15">
      <c r="B192" s="33"/>
    </row>
    <row r="193" spans="2:2" ht="13" x14ac:dyDescent="0.15">
      <c r="B193" s="33"/>
    </row>
    <row r="194" spans="2:2" ht="13" x14ac:dyDescent="0.15">
      <c r="B194" s="33"/>
    </row>
    <row r="195" spans="2:2" ht="13" x14ac:dyDescent="0.15">
      <c r="B195" s="33"/>
    </row>
    <row r="196" spans="2:2" ht="13" x14ac:dyDescent="0.15">
      <c r="B196" s="33"/>
    </row>
    <row r="197" spans="2:2" ht="13" x14ac:dyDescent="0.15">
      <c r="B197" s="33"/>
    </row>
    <row r="198" spans="2:2" ht="13" x14ac:dyDescent="0.15">
      <c r="B198" s="33"/>
    </row>
    <row r="199" spans="2:2" ht="13" x14ac:dyDescent="0.15">
      <c r="B199" s="33"/>
    </row>
    <row r="200" spans="2:2" ht="13" x14ac:dyDescent="0.15">
      <c r="B200" s="33"/>
    </row>
    <row r="201" spans="2:2" ht="13" x14ac:dyDescent="0.15">
      <c r="B201" s="33"/>
    </row>
    <row r="202" spans="2:2" ht="13" x14ac:dyDescent="0.15">
      <c r="B202" s="33"/>
    </row>
    <row r="203" spans="2:2" ht="13" x14ac:dyDescent="0.15">
      <c r="B203" s="33"/>
    </row>
    <row r="204" spans="2:2" ht="13" x14ac:dyDescent="0.15">
      <c r="B204" s="33"/>
    </row>
    <row r="205" spans="2:2" ht="13" x14ac:dyDescent="0.15">
      <c r="B205" s="33"/>
    </row>
    <row r="206" spans="2:2" ht="13" x14ac:dyDescent="0.15">
      <c r="B206" s="33"/>
    </row>
    <row r="207" spans="2:2" ht="13" x14ac:dyDescent="0.15">
      <c r="B207" s="33"/>
    </row>
    <row r="208" spans="2:2" ht="13" x14ac:dyDescent="0.15">
      <c r="B208" s="33"/>
    </row>
    <row r="209" spans="2:2" ht="13" x14ac:dyDescent="0.15">
      <c r="B209" s="33"/>
    </row>
    <row r="210" spans="2:2" ht="13" x14ac:dyDescent="0.15">
      <c r="B210" s="33"/>
    </row>
    <row r="211" spans="2:2" ht="13" x14ac:dyDescent="0.15">
      <c r="B211" s="33"/>
    </row>
    <row r="212" spans="2:2" ht="13" x14ac:dyDescent="0.15">
      <c r="B212" s="33"/>
    </row>
    <row r="213" spans="2:2" ht="13" x14ac:dyDescent="0.15">
      <c r="B213" s="33"/>
    </row>
    <row r="214" spans="2:2" ht="13" x14ac:dyDescent="0.15">
      <c r="B214" s="33"/>
    </row>
    <row r="215" spans="2:2" ht="13" x14ac:dyDescent="0.15">
      <c r="B215" s="33"/>
    </row>
    <row r="216" spans="2:2" ht="13" x14ac:dyDescent="0.15">
      <c r="B216" s="33"/>
    </row>
    <row r="217" spans="2:2" ht="13" x14ac:dyDescent="0.15">
      <c r="B217" s="33"/>
    </row>
    <row r="218" spans="2:2" ht="13" x14ac:dyDescent="0.15">
      <c r="B218" s="33"/>
    </row>
    <row r="219" spans="2:2" ht="13" x14ac:dyDescent="0.15">
      <c r="B219" s="33"/>
    </row>
    <row r="220" spans="2:2" ht="13" x14ac:dyDescent="0.15">
      <c r="B220" s="33"/>
    </row>
    <row r="221" spans="2:2" ht="13" x14ac:dyDescent="0.15">
      <c r="B221" s="33"/>
    </row>
    <row r="222" spans="2:2" ht="13" x14ac:dyDescent="0.15">
      <c r="B222" s="33"/>
    </row>
    <row r="223" spans="2:2" ht="13" x14ac:dyDescent="0.15">
      <c r="B223" s="33"/>
    </row>
    <row r="224" spans="2:2" ht="13" x14ac:dyDescent="0.15">
      <c r="B224" s="33"/>
    </row>
    <row r="225" spans="2:2" ht="13" x14ac:dyDescent="0.15">
      <c r="B225" s="33"/>
    </row>
    <row r="226" spans="2:2" ht="13" x14ac:dyDescent="0.15">
      <c r="B226" s="33"/>
    </row>
    <row r="227" spans="2:2" ht="13" x14ac:dyDescent="0.15">
      <c r="B227" s="33"/>
    </row>
    <row r="228" spans="2:2" ht="13" x14ac:dyDescent="0.15">
      <c r="B228" s="33"/>
    </row>
    <row r="229" spans="2:2" ht="13" x14ac:dyDescent="0.15">
      <c r="B229" s="33"/>
    </row>
    <row r="230" spans="2:2" ht="13" x14ac:dyDescent="0.15">
      <c r="B230" s="33"/>
    </row>
    <row r="231" spans="2:2" ht="13" x14ac:dyDescent="0.15">
      <c r="B231" s="33"/>
    </row>
    <row r="232" spans="2:2" ht="13" x14ac:dyDescent="0.15">
      <c r="B232" s="33"/>
    </row>
    <row r="233" spans="2:2" ht="13" x14ac:dyDescent="0.15">
      <c r="B233" s="33"/>
    </row>
    <row r="234" spans="2:2" ht="13" x14ac:dyDescent="0.15">
      <c r="B234" s="33"/>
    </row>
    <row r="235" spans="2:2" ht="13" x14ac:dyDescent="0.15">
      <c r="B235" s="33"/>
    </row>
    <row r="236" spans="2:2" ht="13" x14ac:dyDescent="0.15">
      <c r="B236" s="33"/>
    </row>
    <row r="237" spans="2:2" ht="13" x14ac:dyDescent="0.15">
      <c r="B237" s="33"/>
    </row>
    <row r="238" spans="2:2" ht="13" x14ac:dyDescent="0.15">
      <c r="B238" s="33"/>
    </row>
    <row r="239" spans="2:2" ht="13" x14ac:dyDescent="0.15">
      <c r="B239" s="33"/>
    </row>
    <row r="240" spans="2:2" ht="13" x14ac:dyDescent="0.15">
      <c r="B240" s="33"/>
    </row>
    <row r="241" spans="2:2" ht="13" x14ac:dyDescent="0.15">
      <c r="B241" s="33"/>
    </row>
    <row r="242" spans="2:2" ht="13" x14ac:dyDescent="0.15">
      <c r="B242" s="33"/>
    </row>
    <row r="243" spans="2:2" ht="13" x14ac:dyDescent="0.15">
      <c r="B243" s="33"/>
    </row>
    <row r="244" spans="2:2" ht="13" x14ac:dyDescent="0.15">
      <c r="B244" s="33"/>
    </row>
    <row r="245" spans="2:2" ht="13" x14ac:dyDescent="0.15">
      <c r="B245" s="33"/>
    </row>
    <row r="246" spans="2:2" ht="13" x14ac:dyDescent="0.15">
      <c r="B246" s="33"/>
    </row>
    <row r="247" spans="2:2" ht="13" x14ac:dyDescent="0.15">
      <c r="B247" s="33"/>
    </row>
    <row r="248" spans="2:2" ht="13" x14ac:dyDescent="0.15">
      <c r="B248" s="33"/>
    </row>
    <row r="249" spans="2:2" ht="13" x14ac:dyDescent="0.15">
      <c r="B249" s="33"/>
    </row>
    <row r="250" spans="2:2" ht="13" x14ac:dyDescent="0.15">
      <c r="B250" s="33"/>
    </row>
    <row r="251" spans="2:2" ht="13" x14ac:dyDescent="0.15">
      <c r="B251" s="33"/>
    </row>
    <row r="252" spans="2:2" ht="13" x14ac:dyDescent="0.15">
      <c r="B252" s="33"/>
    </row>
    <row r="253" spans="2:2" ht="13" x14ac:dyDescent="0.15">
      <c r="B253" s="33"/>
    </row>
    <row r="254" spans="2:2" ht="13" x14ac:dyDescent="0.15">
      <c r="B254" s="33"/>
    </row>
    <row r="255" spans="2:2" ht="13" x14ac:dyDescent="0.15">
      <c r="B255" s="33"/>
    </row>
    <row r="256" spans="2:2" ht="13" x14ac:dyDescent="0.15">
      <c r="B256" s="33"/>
    </row>
    <row r="257" spans="2:2" ht="13" x14ac:dyDescent="0.15">
      <c r="B257" s="33"/>
    </row>
    <row r="258" spans="2:2" ht="13" x14ac:dyDescent="0.15">
      <c r="B258" s="33"/>
    </row>
    <row r="259" spans="2:2" ht="13" x14ac:dyDescent="0.15">
      <c r="B259" s="33"/>
    </row>
    <row r="260" spans="2:2" ht="13" x14ac:dyDescent="0.15">
      <c r="B260" s="33"/>
    </row>
    <row r="261" spans="2:2" ht="13" x14ac:dyDescent="0.15">
      <c r="B261" s="33"/>
    </row>
    <row r="262" spans="2:2" ht="13" x14ac:dyDescent="0.15">
      <c r="B262" s="33"/>
    </row>
    <row r="263" spans="2:2" ht="13" x14ac:dyDescent="0.15">
      <c r="B263" s="33"/>
    </row>
    <row r="264" spans="2:2" ht="13" x14ac:dyDescent="0.15">
      <c r="B264" s="33"/>
    </row>
    <row r="265" spans="2:2" ht="13" x14ac:dyDescent="0.15">
      <c r="B265" s="33"/>
    </row>
    <row r="266" spans="2:2" ht="13" x14ac:dyDescent="0.15">
      <c r="B266" s="33"/>
    </row>
    <row r="267" spans="2:2" ht="13" x14ac:dyDescent="0.15">
      <c r="B267" s="33"/>
    </row>
    <row r="268" spans="2:2" ht="13" x14ac:dyDescent="0.15">
      <c r="B268" s="33"/>
    </row>
    <row r="269" spans="2:2" ht="13" x14ac:dyDescent="0.15">
      <c r="B269" s="33"/>
    </row>
    <row r="270" spans="2:2" ht="13" x14ac:dyDescent="0.15">
      <c r="B270" s="33"/>
    </row>
    <row r="271" spans="2:2" ht="13" x14ac:dyDescent="0.15">
      <c r="B271" s="33"/>
    </row>
    <row r="272" spans="2:2" ht="13" x14ac:dyDescent="0.15">
      <c r="B272" s="33"/>
    </row>
    <row r="273" spans="2:2" ht="13" x14ac:dyDescent="0.15">
      <c r="B273" s="33"/>
    </row>
    <row r="274" spans="2:2" ht="13" x14ac:dyDescent="0.15">
      <c r="B274" s="33"/>
    </row>
    <row r="275" spans="2:2" ht="13" x14ac:dyDescent="0.15">
      <c r="B275" s="33"/>
    </row>
    <row r="276" spans="2:2" ht="13" x14ac:dyDescent="0.15">
      <c r="B276" s="33"/>
    </row>
    <row r="277" spans="2:2" ht="13" x14ac:dyDescent="0.15">
      <c r="B277" s="33"/>
    </row>
    <row r="278" spans="2:2" ht="13" x14ac:dyDescent="0.15">
      <c r="B278" s="33"/>
    </row>
    <row r="279" spans="2:2" ht="13" x14ac:dyDescent="0.15">
      <c r="B279" s="33"/>
    </row>
    <row r="280" spans="2:2" ht="13" x14ac:dyDescent="0.15">
      <c r="B280" s="33"/>
    </row>
    <row r="281" spans="2:2" ht="13" x14ac:dyDescent="0.15">
      <c r="B281" s="33"/>
    </row>
    <row r="282" spans="2:2" ht="13" x14ac:dyDescent="0.15">
      <c r="B282" s="33"/>
    </row>
    <row r="283" spans="2:2" ht="13" x14ac:dyDescent="0.15">
      <c r="B283" s="33"/>
    </row>
    <row r="284" spans="2:2" ht="13" x14ac:dyDescent="0.15">
      <c r="B284" s="33"/>
    </row>
    <row r="285" spans="2:2" ht="13" x14ac:dyDescent="0.15">
      <c r="B285" s="33"/>
    </row>
    <row r="286" spans="2:2" ht="13" x14ac:dyDescent="0.15">
      <c r="B286" s="33"/>
    </row>
    <row r="287" spans="2:2" ht="13" x14ac:dyDescent="0.15">
      <c r="B287" s="33"/>
    </row>
    <row r="288" spans="2:2" ht="13" x14ac:dyDescent="0.15">
      <c r="B288" s="33"/>
    </row>
    <row r="289" spans="2:2" ht="13" x14ac:dyDescent="0.15">
      <c r="B289" s="33"/>
    </row>
    <row r="290" spans="2:2" ht="13" x14ac:dyDescent="0.15">
      <c r="B290" s="33"/>
    </row>
    <row r="291" spans="2:2" ht="13" x14ac:dyDescent="0.15">
      <c r="B291" s="33"/>
    </row>
    <row r="292" spans="2:2" ht="13" x14ac:dyDescent="0.15">
      <c r="B292" s="33"/>
    </row>
    <row r="293" spans="2:2" ht="13" x14ac:dyDescent="0.15">
      <c r="B293" s="33"/>
    </row>
    <row r="294" spans="2:2" ht="13" x14ac:dyDescent="0.15">
      <c r="B294" s="33"/>
    </row>
    <row r="295" spans="2:2" ht="13" x14ac:dyDescent="0.15">
      <c r="B295" s="33"/>
    </row>
    <row r="296" spans="2:2" ht="13" x14ac:dyDescent="0.15">
      <c r="B296" s="33"/>
    </row>
    <row r="297" spans="2:2" ht="13" x14ac:dyDescent="0.15">
      <c r="B297" s="33"/>
    </row>
    <row r="298" spans="2:2" ht="13" x14ac:dyDescent="0.15">
      <c r="B298" s="33"/>
    </row>
    <row r="299" spans="2:2" ht="13" x14ac:dyDescent="0.15">
      <c r="B299" s="33"/>
    </row>
    <row r="300" spans="2:2" ht="13" x14ac:dyDescent="0.15">
      <c r="B300" s="33"/>
    </row>
    <row r="301" spans="2:2" ht="13" x14ac:dyDescent="0.15">
      <c r="B301" s="33"/>
    </row>
    <row r="302" spans="2:2" ht="13" x14ac:dyDescent="0.15">
      <c r="B302" s="33"/>
    </row>
    <row r="303" spans="2:2" ht="13" x14ac:dyDescent="0.15">
      <c r="B303" s="33"/>
    </row>
    <row r="304" spans="2:2" ht="13" x14ac:dyDescent="0.15">
      <c r="B304" s="33"/>
    </row>
    <row r="305" spans="2:2" ht="13" x14ac:dyDescent="0.15">
      <c r="B305" s="33"/>
    </row>
    <row r="306" spans="2:2" ht="13" x14ac:dyDescent="0.15">
      <c r="B306" s="33"/>
    </row>
    <row r="307" spans="2:2" ht="13" x14ac:dyDescent="0.15">
      <c r="B307" s="33"/>
    </row>
    <row r="308" spans="2:2" ht="13" x14ac:dyDescent="0.15">
      <c r="B308" s="33"/>
    </row>
    <row r="309" spans="2:2" ht="13" x14ac:dyDescent="0.15">
      <c r="B309" s="33"/>
    </row>
    <row r="310" spans="2:2" ht="13" x14ac:dyDescent="0.15">
      <c r="B310" s="33"/>
    </row>
    <row r="311" spans="2:2" ht="13" x14ac:dyDescent="0.15">
      <c r="B311" s="33"/>
    </row>
    <row r="312" spans="2:2" ht="13" x14ac:dyDescent="0.15">
      <c r="B312" s="33"/>
    </row>
    <row r="313" spans="2:2" ht="13" x14ac:dyDescent="0.15">
      <c r="B313" s="33"/>
    </row>
    <row r="314" spans="2:2" ht="13" x14ac:dyDescent="0.15">
      <c r="B314" s="33"/>
    </row>
    <row r="315" spans="2:2" ht="13" x14ac:dyDescent="0.15">
      <c r="B315" s="33"/>
    </row>
    <row r="316" spans="2:2" ht="13" x14ac:dyDescent="0.15">
      <c r="B316" s="33"/>
    </row>
    <row r="317" spans="2:2" ht="13" x14ac:dyDescent="0.15">
      <c r="B317" s="33"/>
    </row>
    <row r="318" spans="2:2" ht="13" x14ac:dyDescent="0.15">
      <c r="B318" s="33"/>
    </row>
    <row r="319" spans="2:2" ht="13" x14ac:dyDescent="0.15">
      <c r="B319" s="33"/>
    </row>
    <row r="320" spans="2:2" ht="13" x14ac:dyDescent="0.15">
      <c r="B320" s="33"/>
    </row>
    <row r="321" spans="2:2" ht="13" x14ac:dyDescent="0.15">
      <c r="B321" s="33"/>
    </row>
    <row r="322" spans="2:2" ht="13" x14ac:dyDescent="0.15">
      <c r="B322" s="33"/>
    </row>
    <row r="323" spans="2:2" ht="13" x14ac:dyDescent="0.15">
      <c r="B323" s="33"/>
    </row>
    <row r="324" spans="2:2" ht="13" x14ac:dyDescent="0.15">
      <c r="B324" s="33"/>
    </row>
    <row r="325" spans="2:2" ht="13" x14ac:dyDescent="0.15">
      <c r="B325" s="33"/>
    </row>
    <row r="326" spans="2:2" ht="13" x14ac:dyDescent="0.15">
      <c r="B326" s="33"/>
    </row>
    <row r="327" spans="2:2" ht="13" x14ac:dyDescent="0.15">
      <c r="B327" s="33"/>
    </row>
    <row r="328" spans="2:2" ht="13" x14ac:dyDescent="0.15">
      <c r="B328" s="33"/>
    </row>
    <row r="329" spans="2:2" ht="13" x14ac:dyDescent="0.15">
      <c r="B329" s="33"/>
    </row>
    <row r="330" spans="2:2" ht="13" x14ac:dyDescent="0.15">
      <c r="B330" s="33"/>
    </row>
    <row r="331" spans="2:2" ht="13" x14ac:dyDescent="0.15">
      <c r="B331" s="33"/>
    </row>
    <row r="332" spans="2:2" ht="13" x14ac:dyDescent="0.15">
      <c r="B332" s="33"/>
    </row>
    <row r="333" spans="2:2" ht="13" x14ac:dyDescent="0.15">
      <c r="B333" s="33"/>
    </row>
    <row r="334" spans="2:2" ht="13" x14ac:dyDescent="0.15">
      <c r="B334" s="33"/>
    </row>
    <row r="335" spans="2:2" ht="13" x14ac:dyDescent="0.15">
      <c r="B335" s="33"/>
    </row>
    <row r="336" spans="2:2" ht="13" x14ac:dyDescent="0.15">
      <c r="B336" s="33"/>
    </row>
    <row r="337" spans="2:2" ht="13" x14ac:dyDescent="0.15">
      <c r="B337" s="33"/>
    </row>
    <row r="338" spans="2:2" ht="13" x14ac:dyDescent="0.15">
      <c r="B338" s="33"/>
    </row>
    <row r="339" spans="2:2" ht="13" x14ac:dyDescent="0.15">
      <c r="B339" s="33"/>
    </row>
    <row r="340" spans="2:2" ht="13" x14ac:dyDescent="0.15">
      <c r="B340" s="33"/>
    </row>
    <row r="341" spans="2:2" ht="13" x14ac:dyDescent="0.15">
      <c r="B341" s="33"/>
    </row>
    <row r="342" spans="2:2" ht="13" x14ac:dyDescent="0.15">
      <c r="B342" s="33"/>
    </row>
    <row r="343" spans="2:2" ht="13" x14ac:dyDescent="0.15">
      <c r="B343" s="33"/>
    </row>
    <row r="344" spans="2:2" ht="13" x14ac:dyDescent="0.15">
      <c r="B344" s="33"/>
    </row>
    <row r="345" spans="2:2" ht="13" x14ac:dyDescent="0.15">
      <c r="B345" s="33"/>
    </row>
    <row r="346" spans="2:2" ht="13" x14ac:dyDescent="0.15">
      <c r="B346" s="33"/>
    </row>
    <row r="347" spans="2:2" ht="13" x14ac:dyDescent="0.15">
      <c r="B347" s="33"/>
    </row>
    <row r="348" spans="2:2" ht="13" x14ac:dyDescent="0.15">
      <c r="B348" s="33"/>
    </row>
    <row r="349" spans="2:2" ht="13" x14ac:dyDescent="0.15">
      <c r="B349" s="33"/>
    </row>
    <row r="350" spans="2:2" ht="13" x14ac:dyDescent="0.15">
      <c r="B350" s="33"/>
    </row>
    <row r="351" spans="2:2" ht="13" x14ac:dyDescent="0.15">
      <c r="B351" s="33"/>
    </row>
    <row r="352" spans="2:2" ht="13" x14ac:dyDescent="0.15">
      <c r="B352" s="33"/>
    </row>
    <row r="353" spans="2:2" ht="13" x14ac:dyDescent="0.15">
      <c r="B353" s="33"/>
    </row>
    <row r="354" spans="2:2" ht="13" x14ac:dyDescent="0.15">
      <c r="B354" s="33"/>
    </row>
    <row r="355" spans="2:2" ht="13" x14ac:dyDescent="0.15">
      <c r="B355" s="33"/>
    </row>
    <row r="356" spans="2:2" ht="13" x14ac:dyDescent="0.15">
      <c r="B356" s="33"/>
    </row>
    <row r="357" spans="2:2" ht="13" x14ac:dyDescent="0.15">
      <c r="B357" s="33"/>
    </row>
    <row r="358" spans="2:2" ht="13" x14ac:dyDescent="0.15">
      <c r="B358" s="33"/>
    </row>
    <row r="359" spans="2:2" ht="13" x14ac:dyDescent="0.15">
      <c r="B359" s="33"/>
    </row>
    <row r="360" spans="2:2" ht="13" x14ac:dyDescent="0.15">
      <c r="B360" s="33"/>
    </row>
    <row r="361" spans="2:2" ht="13" x14ac:dyDescent="0.15">
      <c r="B361" s="33"/>
    </row>
    <row r="362" spans="2:2" ht="13" x14ac:dyDescent="0.15">
      <c r="B362" s="33"/>
    </row>
    <row r="363" spans="2:2" ht="13" x14ac:dyDescent="0.15">
      <c r="B363" s="33"/>
    </row>
    <row r="364" spans="2:2" ht="13" x14ac:dyDescent="0.15">
      <c r="B364" s="33"/>
    </row>
    <row r="365" spans="2:2" ht="13" x14ac:dyDescent="0.15">
      <c r="B365" s="33"/>
    </row>
    <row r="366" spans="2:2" ht="13" x14ac:dyDescent="0.15">
      <c r="B366" s="33"/>
    </row>
    <row r="367" spans="2:2" ht="13" x14ac:dyDescent="0.15">
      <c r="B367" s="33"/>
    </row>
    <row r="368" spans="2:2" ht="13" x14ac:dyDescent="0.15">
      <c r="B368" s="33"/>
    </row>
    <row r="369" spans="2:2" ht="13" x14ac:dyDescent="0.15">
      <c r="B369" s="33"/>
    </row>
    <row r="370" spans="2:2" ht="13" x14ac:dyDescent="0.15">
      <c r="B370" s="33"/>
    </row>
    <row r="371" spans="2:2" ht="13" x14ac:dyDescent="0.15">
      <c r="B371" s="33"/>
    </row>
    <row r="372" spans="2:2" ht="13" x14ac:dyDescent="0.15">
      <c r="B372" s="33"/>
    </row>
    <row r="373" spans="2:2" ht="13" x14ac:dyDescent="0.15">
      <c r="B373" s="33"/>
    </row>
    <row r="374" spans="2:2" ht="13" x14ac:dyDescent="0.15">
      <c r="B374" s="33"/>
    </row>
    <row r="375" spans="2:2" ht="13" x14ac:dyDescent="0.15">
      <c r="B375" s="33"/>
    </row>
    <row r="376" spans="2:2" ht="13" x14ac:dyDescent="0.15">
      <c r="B376" s="33"/>
    </row>
    <row r="377" spans="2:2" ht="13" x14ac:dyDescent="0.15">
      <c r="B377" s="33"/>
    </row>
    <row r="378" spans="2:2" ht="13" x14ac:dyDescent="0.15">
      <c r="B378" s="33"/>
    </row>
    <row r="379" spans="2:2" ht="13" x14ac:dyDescent="0.15">
      <c r="B379" s="33"/>
    </row>
    <row r="380" spans="2:2" ht="13" x14ac:dyDescent="0.15">
      <c r="B380" s="33"/>
    </row>
    <row r="381" spans="2:2" ht="13" x14ac:dyDescent="0.15">
      <c r="B381" s="33"/>
    </row>
    <row r="382" spans="2:2" ht="13" x14ac:dyDescent="0.15">
      <c r="B382" s="33"/>
    </row>
    <row r="383" spans="2:2" ht="13" x14ac:dyDescent="0.15">
      <c r="B383" s="33"/>
    </row>
    <row r="384" spans="2:2" ht="13" x14ac:dyDescent="0.15">
      <c r="B384" s="33"/>
    </row>
    <row r="385" spans="2:2" ht="13" x14ac:dyDescent="0.15">
      <c r="B385" s="33"/>
    </row>
    <row r="386" spans="2:2" ht="13" x14ac:dyDescent="0.15">
      <c r="B386" s="33"/>
    </row>
    <row r="387" spans="2:2" ht="13" x14ac:dyDescent="0.15">
      <c r="B387" s="33"/>
    </row>
    <row r="388" spans="2:2" ht="13" x14ac:dyDescent="0.15">
      <c r="B388" s="33"/>
    </row>
    <row r="389" spans="2:2" ht="13" x14ac:dyDescent="0.15">
      <c r="B389" s="33"/>
    </row>
    <row r="390" spans="2:2" ht="13" x14ac:dyDescent="0.15">
      <c r="B390" s="33"/>
    </row>
    <row r="391" spans="2:2" ht="13" x14ac:dyDescent="0.15">
      <c r="B391" s="33"/>
    </row>
    <row r="392" spans="2:2" ht="13" x14ac:dyDescent="0.15">
      <c r="B392" s="33"/>
    </row>
    <row r="393" spans="2:2" ht="13" x14ac:dyDescent="0.15">
      <c r="B393" s="33"/>
    </row>
    <row r="394" spans="2:2" ht="13" x14ac:dyDescent="0.15">
      <c r="B394" s="33"/>
    </row>
    <row r="395" spans="2:2" ht="13" x14ac:dyDescent="0.15">
      <c r="B395" s="33"/>
    </row>
    <row r="396" spans="2:2" ht="13" x14ac:dyDescent="0.15">
      <c r="B396" s="33"/>
    </row>
    <row r="397" spans="2:2" ht="13" x14ac:dyDescent="0.15">
      <c r="B397" s="33"/>
    </row>
    <row r="398" spans="2:2" ht="13" x14ac:dyDescent="0.15">
      <c r="B398" s="33"/>
    </row>
    <row r="399" spans="2:2" ht="13" x14ac:dyDescent="0.15">
      <c r="B399" s="33"/>
    </row>
    <row r="400" spans="2:2" ht="13" x14ac:dyDescent="0.15">
      <c r="B400" s="33"/>
    </row>
    <row r="401" spans="2:2" ht="13" x14ac:dyDescent="0.15">
      <c r="B401" s="33"/>
    </row>
    <row r="402" spans="2:2" ht="13" x14ac:dyDescent="0.15">
      <c r="B402" s="33"/>
    </row>
    <row r="403" spans="2:2" ht="13" x14ac:dyDescent="0.15">
      <c r="B403" s="33"/>
    </row>
    <row r="404" spans="2:2" ht="13" x14ac:dyDescent="0.15">
      <c r="B404" s="33"/>
    </row>
    <row r="405" spans="2:2" ht="13" x14ac:dyDescent="0.15">
      <c r="B405" s="33"/>
    </row>
    <row r="406" spans="2:2" ht="13" x14ac:dyDescent="0.15">
      <c r="B406" s="33"/>
    </row>
    <row r="407" spans="2:2" ht="13" x14ac:dyDescent="0.15">
      <c r="B407" s="33"/>
    </row>
    <row r="408" spans="2:2" ht="13" x14ac:dyDescent="0.15">
      <c r="B408" s="33"/>
    </row>
    <row r="409" spans="2:2" ht="13" x14ac:dyDescent="0.15">
      <c r="B409" s="33"/>
    </row>
    <row r="410" spans="2:2" ht="13" x14ac:dyDescent="0.15">
      <c r="B410" s="33"/>
    </row>
    <row r="411" spans="2:2" ht="13" x14ac:dyDescent="0.15">
      <c r="B411" s="33"/>
    </row>
    <row r="412" spans="2:2" ht="13" x14ac:dyDescent="0.15">
      <c r="B412" s="33"/>
    </row>
    <row r="413" spans="2:2" ht="13" x14ac:dyDescent="0.15">
      <c r="B413" s="33"/>
    </row>
    <row r="414" spans="2:2" ht="13" x14ac:dyDescent="0.15">
      <c r="B414" s="33"/>
    </row>
    <row r="415" spans="2:2" ht="13" x14ac:dyDescent="0.15">
      <c r="B415" s="33"/>
    </row>
    <row r="416" spans="2:2" ht="13" x14ac:dyDescent="0.15">
      <c r="B416" s="33"/>
    </row>
    <row r="417" spans="2:2" ht="13" x14ac:dyDescent="0.15">
      <c r="B417" s="33"/>
    </row>
    <row r="418" spans="2:2" ht="13" x14ac:dyDescent="0.15">
      <c r="B418" s="33"/>
    </row>
    <row r="419" spans="2:2" ht="13" x14ac:dyDescent="0.15">
      <c r="B419" s="33"/>
    </row>
    <row r="420" spans="2:2" ht="13" x14ac:dyDescent="0.15">
      <c r="B420" s="33"/>
    </row>
    <row r="421" spans="2:2" ht="13" x14ac:dyDescent="0.15">
      <c r="B421" s="33"/>
    </row>
    <row r="422" spans="2:2" ht="13" x14ac:dyDescent="0.15">
      <c r="B422" s="33"/>
    </row>
    <row r="423" spans="2:2" ht="13" x14ac:dyDescent="0.15">
      <c r="B423" s="33"/>
    </row>
    <row r="424" spans="2:2" ht="13" x14ac:dyDescent="0.15">
      <c r="B424" s="33"/>
    </row>
    <row r="425" spans="2:2" ht="13" x14ac:dyDescent="0.15">
      <c r="B425" s="33"/>
    </row>
    <row r="426" spans="2:2" ht="13" x14ac:dyDescent="0.15">
      <c r="B426" s="33"/>
    </row>
    <row r="427" spans="2:2" ht="13" x14ac:dyDescent="0.15">
      <c r="B427" s="33"/>
    </row>
    <row r="428" spans="2:2" ht="13" x14ac:dyDescent="0.15">
      <c r="B428" s="33"/>
    </row>
    <row r="429" spans="2:2" ht="13" x14ac:dyDescent="0.15">
      <c r="B429" s="33"/>
    </row>
    <row r="430" spans="2:2" ht="13" x14ac:dyDescent="0.15">
      <c r="B430" s="33"/>
    </row>
    <row r="431" spans="2:2" ht="13" x14ac:dyDescent="0.15">
      <c r="B431" s="33"/>
    </row>
    <row r="432" spans="2:2" ht="13" x14ac:dyDescent="0.15">
      <c r="B432" s="33"/>
    </row>
    <row r="433" spans="2:2" ht="13" x14ac:dyDescent="0.15">
      <c r="B433" s="33"/>
    </row>
    <row r="434" spans="2:2" ht="13" x14ac:dyDescent="0.15">
      <c r="B434" s="33"/>
    </row>
    <row r="435" spans="2:2" ht="13" x14ac:dyDescent="0.15">
      <c r="B435" s="33"/>
    </row>
    <row r="436" spans="2:2" ht="13" x14ac:dyDescent="0.15">
      <c r="B436" s="33"/>
    </row>
    <row r="437" spans="2:2" ht="13" x14ac:dyDescent="0.15">
      <c r="B437" s="33"/>
    </row>
    <row r="438" spans="2:2" ht="13" x14ac:dyDescent="0.15">
      <c r="B438" s="33"/>
    </row>
    <row r="439" spans="2:2" ht="13" x14ac:dyDescent="0.15">
      <c r="B439" s="33"/>
    </row>
    <row r="440" spans="2:2" ht="13" x14ac:dyDescent="0.15">
      <c r="B440" s="33"/>
    </row>
    <row r="441" spans="2:2" ht="13" x14ac:dyDescent="0.15">
      <c r="B441" s="33"/>
    </row>
    <row r="442" spans="2:2" ht="13" x14ac:dyDescent="0.15">
      <c r="B442" s="33"/>
    </row>
    <row r="443" spans="2:2" ht="13" x14ac:dyDescent="0.15">
      <c r="B443" s="33"/>
    </row>
    <row r="444" spans="2:2" ht="13" x14ac:dyDescent="0.15">
      <c r="B444" s="33"/>
    </row>
    <row r="445" spans="2:2" ht="13" x14ac:dyDescent="0.15">
      <c r="B445" s="33"/>
    </row>
    <row r="446" spans="2:2" ht="13" x14ac:dyDescent="0.15">
      <c r="B446" s="33"/>
    </row>
    <row r="447" spans="2:2" ht="13" x14ac:dyDescent="0.15">
      <c r="B447" s="33"/>
    </row>
    <row r="448" spans="2:2" ht="13" x14ac:dyDescent="0.15">
      <c r="B448" s="33"/>
    </row>
    <row r="449" spans="2:2" ht="13" x14ac:dyDescent="0.15">
      <c r="B449" s="33"/>
    </row>
    <row r="450" spans="2:2" ht="13" x14ac:dyDescent="0.15">
      <c r="B450" s="33"/>
    </row>
    <row r="451" spans="2:2" ht="13" x14ac:dyDescent="0.15">
      <c r="B451" s="33"/>
    </row>
    <row r="452" spans="2:2" ht="13" x14ac:dyDescent="0.15">
      <c r="B452" s="33"/>
    </row>
    <row r="453" spans="2:2" ht="13" x14ac:dyDescent="0.15">
      <c r="B453" s="33"/>
    </row>
    <row r="454" spans="2:2" ht="13" x14ac:dyDescent="0.15">
      <c r="B454" s="33"/>
    </row>
    <row r="455" spans="2:2" ht="13" x14ac:dyDescent="0.15">
      <c r="B455" s="33"/>
    </row>
    <row r="456" spans="2:2" ht="13" x14ac:dyDescent="0.15">
      <c r="B456" s="33"/>
    </row>
    <row r="457" spans="2:2" ht="13" x14ac:dyDescent="0.15">
      <c r="B457" s="33"/>
    </row>
    <row r="458" spans="2:2" ht="13" x14ac:dyDescent="0.15">
      <c r="B458" s="33"/>
    </row>
    <row r="459" spans="2:2" ht="13" x14ac:dyDescent="0.15">
      <c r="B459" s="33"/>
    </row>
    <row r="460" spans="2:2" ht="13" x14ac:dyDescent="0.15">
      <c r="B460" s="33"/>
    </row>
    <row r="461" spans="2:2" ht="13" x14ac:dyDescent="0.15">
      <c r="B461" s="33"/>
    </row>
    <row r="462" spans="2:2" ht="13" x14ac:dyDescent="0.15">
      <c r="B462" s="33"/>
    </row>
    <row r="463" spans="2:2" ht="13" x14ac:dyDescent="0.15">
      <c r="B463" s="33"/>
    </row>
    <row r="464" spans="2:2" ht="13" x14ac:dyDescent="0.15">
      <c r="B464" s="33"/>
    </row>
    <row r="465" spans="2:2" ht="13" x14ac:dyDescent="0.15">
      <c r="B465" s="33"/>
    </row>
    <row r="466" spans="2:2" ht="13" x14ac:dyDescent="0.15">
      <c r="B466" s="33"/>
    </row>
    <row r="467" spans="2:2" ht="13" x14ac:dyDescent="0.15">
      <c r="B467" s="33"/>
    </row>
    <row r="468" spans="2:2" ht="13" x14ac:dyDescent="0.15">
      <c r="B468" s="33"/>
    </row>
    <row r="469" spans="2:2" ht="13" x14ac:dyDescent="0.15">
      <c r="B469" s="33"/>
    </row>
    <row r="470" spans="2:2" ht="13" x14ac:dyDescent="0.15">
      <c r="B470" s="33"/>
    </row>
    <row r="471" spans="2:2" ht="13" x14ac:dyDescent="0.15">
      <c r="B471" s="33"/>
    </row>
    <row r="472" spans="2:2" ht="13" x14ac:dyDescent="0.15">
      <c r="B472" s="33"/>
    </row>
    <row r="473" spans="2:2" ht="13" x14ac:dyDescent="0.15">
      <c r="B473" s="33"/>
    </row>
    <row r="474" spans="2:2" ht="13" x14ac:dyDescent="0.15">
      <c r="B474" s="33"/>
    </row>
    <row r="475" spans="2:2" ht="13" x14ac:dyDescent="0.15">
      <c r="B475" s="33"/>
    </row>
    <row r="476" spans="2:2" ht="13" x14ac:dyDescent="0.15">
      <c r="B476" s="33"/>
    </row>
    <row r="477" spans="2:2" ht="13" x14ac:dyDescent="0.15">
      <c r="B477" s="33"/>
    </row>
    <row r="478" spans="2:2" ht="13" x14ac:dyDescent="0.15">
      <c r="B478" s="33"/>
    </row>
    <row r="479" spans="2:2" ht="13" x14ac:dyDescent="0.15">
      <c r="B479" s="33"/>
    </row>
    <row r="480" spans="2:2" ht="13" x14ac:dyDescent="0.15">
      <c r="B480" s="33"/>
    </row>
    <row r="481" spans="2:2" ht="13" x14ac:dyDescent="0.15">
      <c r="B481" s="33"/>
    </row>
    <row r="482" spans="2:2" ht="13" x14ac:dyDescent="0.15">
      <c r="B482" s="33"/>
    </row>
    <row r="483" spans="2:2" ht="13" x14ac:dyDescent="0.15">
      <c r="B483" s="33"/>
    </row>
    <row r="484" spans="2:2" ht="13" x14ac:dyDescent="0.15">
      <c r="B484" s="33"/>
    </row>
    <row r="485" spans="2:2" ht="13" x14ac:dyDescent="0.15">
      <c r="B485" s="33"/>
    </row>
    <row r="486" spans="2:2" ht="13" x14ac:dyDescent="0.15">
      <c r="B486" s="33"/>
    </row>
    <row r="487" spans="2:2" ht="13" x14ac:dyDescent="0.15">
      <c r="B487" s="33"/>
    </row>
    <row r="488" spans="2:2" ht="13" x14ac:dyDescent="0.15">
      <c r="B488" s="33"/>
    </row>
    <row r="489" spans="2:2" ht="13" x14ac:dyDescent="0.15">
      <c r="B489" s="33"/>
    </row>
    <row r="490" spans="2:2" ht="13" x14ac:dyDescent="0.15">
      <c r="B490" s="33"/>
    </row>
    <row r="491" spans="2:2" ht="13" x14ac:dyDescent="0.15">
      <c r="B491" s="33"/>
    </row>
    <row r="492" spans="2:2" ht="13" x14ac:dyDescent="0.15">
      <c r="B492" s="33"/>
    </row>
    <row r="493" spans="2:2" ht="13" x14ac:dyDescent="0.15">
      <c r="B493" s="33"/>
    </row>
    <row r="494" spans="2:2" ht="13" x14ac:dyDescent="0.15">
      <c r="B494" s="33"/>
    </row>
    <row r="495" spans="2:2" ht="13" x14ac:dyDescent="0.15">
      <c r="B495" s="33"/>
    </row>
    <row r="496" spans="2:2" ht="13" x14ac:dyDescent="0.15">
      <c r="B496" s="33"/>
    </row>
    <row r="497" spans="2:2" ht="13" x14ac:dyDescent="0.15">
      <c r="B497" s="33"/>
    </row>
    <row r="498" spans="2:2" ht="13" x14ac:dyDescent="0.15">
      <c r="B498" s="33"/>
    </row>
    <row r="499" spans="2:2" ht="13" x14ac:dyDescent="0.15">
      <c r="B499" s="33"/>
    </row>
    <row r="500" spans="2:2" ht="13" x14ac:dyDescent="0.15">
      <c r="B500" s="33"/>
    </row>
    <row r="501" spans="2:2" ht="13" x14ac:dyDescent="0.15">
      <c r="B501" s="33"/>
    </row>
    <row r="502" spans="2:2" ht="13" x14ac:dyDescent="0.15">
      <c r="B502" s="33"/>
    </row>
    <row r="503" spans="2:2" ht="13" x14ac:dyDescent="0.15">
      <c r="B503" s="33"/>
    </row>
    <row r="504" spans="2:2" ht="13" x14ac:dyDescent="0.15">
      <c r="B504" s="33"/>
    </row>
    <row r="505" spans="2:2" ht="13" x14ac:dyDescent="0.15">
      <c r="B505" s="33"/>
    </row>
    <row r="506" spans="2:2" ht="13" x14ac:dyDescent="0.15">
      <c r="B506" s="33"/>
    </row>
    <row r="507" spans="2:2" ht="13" x14ac:dyDescent="0.15">
      <c r="B507" s="33"/>
    </row>
    <row r="508" spans="2:2" ht="13" x14ac:dyDescent="0.15">
      <c r="B508" s="33"/>
    </row>
    <row r="509" spans="2:2" ht="13" x14ac:dyDescent="0.15">
      <c r="B509" s="33"/>
    </row>
    <row r="510" spans="2:2" ht="13" x14ac:dyDescent="0.15">
      <c r="B510" s="33"/>
    </row>
    <row r="511" spans="2:2" ht="13" x14ac:dyDescent="0.15">
      <c r="B511" s="33"/>
    </row>
    <row r="512" spans="2:2" ht="13" x14ac:dyDescent="0.15">
      <c r="B512" s="33"/>
    </row>
    <row r="513" spans="2:2" ht="13" x14ac:dyDescent="0.15">
      <c r="B513" s="33"/>
    </row>
    <row r="514" spans="2:2" ht="13" x14ac:dyDescent="0.15">
      <c r="B514" s="33"/>
    </row>
    <row r="515" spans="2:2" ht="13" x14ac:dyDescent="0.15">
      <c r="B515" s="33"/>
    </row>
    <row r="516" spans="2:2" ht="13" x14ac:dyDescent="0.15">
      <c r="B516" s="33"/>
    </row>
    <row r="517" spans="2:2" ht="13" x14ac:dyDescent="0.15">
      <c r="B517" s="33"/>
    </row>
    <row r="518" spans="2:2" ht="13" x14ac:dyDescent="0.15">
      <c r="B518" s="33"/>
    </row>
    <row r="519" spans="2:2" ht="13" x14ac:dyDescent="0.15">
      <c r="B519" s="33"/>
    </row>
    <row r="520" spans="2:2" ht="13" x14ac:dyDescent="0.15">
      <c r="B520" s="33"/>
    </row>
    <row r="521" spans="2:2" ht="13" x14ac:dyDescent="0.15">
      <c r="B521" s="33"/>
    </row>
    <row r="522" spans="2:2" ht="13" x14ac:dyDescent="0.15">
      <c r="B522" s="33"/>
    </row>
    <row r="523" spans="2:2" ht="13" x14ac:dyDescent="0.15">
      <c r="B523" s="33"/>
    </row>
    <row r="524" spans="2:2" ht="13" x14ac:dyDescent="0.15">
      <c r="B524" s="33"/>
    </row>
    <row r="525" spans="2:2" ht="13" x14ac:dyDescent="0.15">
      <c r="B525" s="33"/>
    </row>
    <row r="526" spans="2:2" ht="13" x14ac:dyDescent="0.15">
      <c r="B526" s="33"/>
    </row>
    <row r="527" spans="2:2" ht="13" x14ac:dyDescent="0.15">
      <c r="B527" s="33"/>
    </row>
    <row r="528" spans="2:2" ht="13" x14ac:dyDescent="0.15">
      <c r="B528" s="33"/>
    </row>
    <row r="529" spans="2:2" ht="13" x14ac:dyDescent="0.15">
      <c r="B529" s="33"/>
    </row>
    <row r="530" spans="2:2" ht="13" x14ac:dyDescent="0.15">
      <c r="B530" s="33"/>
    </row>
    <row r="531" spans="2:2" ht="13" x14ac:dyDescent="0.15">
      <c r="B531" s="33"/>
    </row>
    <row r="532" spans="2:2" ht="13" x14ac:dyDescent="0.15">
      <c r="B532" s="33"/>
    </row>
    <row r="533" spans="2:2" ht="13" x14ac:dyDescent="0.15">
      <c r="B533" s="33"/>
    </row>
    <row r="534" spans="2:2" ht="13" x14ac:dyDescent="0.15">
      <c r="B534" s="33"/>
    </row>
    <row r="535" spans="2:2" ht="13" x14ac:dyDescent="0.15">
      <c r="B535" s="33"/>
    </row>
    <row r="536" spans="2:2" ht="13" x14ac:dyDescent="0.15">
      <c r="B536" s="33"/>
    </row>
    <row r="537" spans="2:2" ht="13" x14ac:dyDescent="0.15">
      <c r="B537" s="33"/>
    </row>
    <row r="538" spans="2:2" ht="13" x14ac:dyDescent="0.15">
      <c r="B538" s="33"/>
    </row>
    <row r="539" spans="2:2" ht="13" x14ac:dyDescent="0.15">
      <c r="B539" s="33"/>
    </row>
    <row r="540" spans="2:2" ht="13" x14ac:dyDescent="0.15">
      <c r="B540" s="33"/>
    </row>
    <row r="541" spans="2:2" ht="13" x14ac:dyDescent="0.15">
      <c r="B541" s="33"/>
    </row>
    <row r="542" spans="2:2" ht="13" x14ac:dyDescent="0.15">
      <c r="B542" s="33"/>
    </row>
    <row r="543" spans="2:2" ht="13" x14ac:dyDescent="0.15">
      <c r="B543" s="33"/>
    </row>
    <row r="544" spans="2:2" ht="13" x14ac:dyDescent="0.15">
      <c r="B544" s="33"/>
    </row>
    <row r="545" spans="2:2" ht="13" x14ac:dyDescent="0.15">
      <c r="B545" s="33"/>
    </row>
    <row r="546" spans="2:2" ht="13" x14ac:dyDescent="0.15">
      <c r="B546" s="33"/>
    </row>
    <row r="547" spans="2:2" ht="13" x14ac:dyDescent="0.15">
      <c r="B547" s="33"/>
    </row>
    <row r="548" spans="2:2" ht="13" x14ac:dyDescent="0.15">
      <c r="B548" s="33"/>
    </row>
    <row r="549" spans="2:2" ht="13" x14ac:dyDescent="0.15">
      <c r="B549" s="33"/>
    </row>
    <row r="550" spans="2:2" ht="13" x14ac:dyDescent="0.15">
      <c r="B550" s="33"/>
    </row>
    <row r="551" spans="2:2" ht="13" x14ac:dyDescent="0.15">
      <c r="B551" s="33"/>
    </row>
    <row r="552" spans="2:2" ht="13" x14ac:dyDescent="0.15">
      <c r="B552" s="33"/>
    </row>
    <row r="553" spans="2:2" ht="13" x14ac:dyDescent="0.15">
      <c r="B553" s="33"/>
    </row>
    <row r="554" spans="2:2" ht="13" x14ac:dyDescent="0.15">
      <c r="B554" s="33"/>
    </row>
    <row r="555" spans="2:2" ht="13" x14ac:dyDescent="0.15">
      <c r="B555" s="33"/>
    </row>
    <row r="556" spans="2:2" ht="13" x14ac:dyDescent="0.15">
      <c r="B556" s="33"/>
    </row>
    <row r="557" spans="2:2" ht="13" x14ac:dyDescent="0.15">
      <c r="B557" s="33"/>
    </row>
    <row r="558" spans="2:2" ht="13" x14ac:dyDescent="0.15">
      <c r="B558" s="33"/>
    </row>
    <row r="559" spans="2:2" ht="13" x14ac:dyDescent="0.15">
      <c r="B559" s="33"/>
    </row>
    <row r="560" spans="2:2" ht="13" x14ac:dyDescent="0.15">
      <c r="B560" s="33"/>
    </row>
    <row r="561" spans="2:2" ht="13" x14ac:dyDescent="0.15">
      <c r="B561" s="33"/>
    </row>
    <row r="562" spans="2:2" ht="13" x14ac:dyDescent="0.15">
      <c r="B562" s="33"/>
    </row>
    <row r="563" spans="2:2" ht="13" x14ac:dyDescent="0.15">
      <c r="B563" s="33"/>
    </row>
    <row r="564" spans="2:2" ht="13" x14ac:dyDescent="0.15">
      <c r="B564" s="33"/>
    </row>
    <row r="565" spans="2:2" ht="13" x14ac:dyDescent="0.15">
      <c r="B565" s="33"/>
    </row>
    <row r="566" spans="2:2" ht="13" x14ac:dyDescent="0.15">
      <c r="B566" s="33"/>
    </row>
    <row r="567" spans="2:2" ht="13" x14ac:dyDescent="0.15">
      <c r="B567" s="33"/>
    </row>
    <row r="568" spans="2:2" ht="13" x14ac:dyDescent="0.15">
      <c r="B568" s="33"/>
    </row>
    <row r="569" spans="2:2" ht="13" x14ac:dyDescent="0.15">
      <c r="B569" s="33"/>
    </row>
    <row r="570" spans="2:2" ht="13" x14ac:dyDescent="0.15">
      <c r="B570" s="33"/>
    </row>
    <row r="571" spans="2:2" ht="13" x14ac:dyDescent="0.15">
      <c r="B571" s="33"/>
    </row>
    <row r="572" spans="2:2" ht="13" x14ac:dyDescent="0.15">
      <c r="B572" s="33"/>
    </row>
    <row r="573" spans="2:2" ht="13" x14ac:dyDescent="0.15">
      <c r="B573" s="33"/>
    </row>
    <row r="574" spans="2:2" ht="13" x14ac:dyDescent="0.15">
      <c r="B574" s="33"/>
    </row>
    <row r="575" spans="2:2" ht="13" x14ac:dyDescent="0.15">
      <c r="B575" s="33"/>
    </row>
    <row r="576" spans="2:2" ht="13" x14ac:dyDescent="0.15">
      <c r="B576" s="33"/>
    </row>
    <row r="577" spans="2:2" ht="13" x14ac:dyDescent="0.15">
      <c r="B577" s="33"/>
    </row>
    <row r="578" spans="2:2" ht="13" x14ac:dyDescent="0.15">
      <c r="B578" s="33"/>
    </row>
    <row r="579" spans="2:2" ht="13" x14ac:dyDescent="0.15">
      <c r="B579" s="33"/>
    </row>
    <row r="580" spans="2:2" ht="13" x14ac:dyDescent="0.15">
      <c r="B580" s="33"/>
    </row>
    <row r="581" spans="2:2" ht="13" x14ac:dyDescent="0.15">
      <c r="B581" s="33"/>
    </row>
    <row r="582" spans="2:2" ht="13" x14ac:dyDescent="0.15">
      <c r="B582" s="33"/>
    </row>
    <row r="583" spans="2:2" ht="13" x14ac:dyDescent="0.15">
      <c r="B583" s="33"/>
    </row>
    <row r="584" spans="2:2" ht="13" x14ac:dyDescent="0.15">
      <c r="B584" s="33"/>
    </row>
    <row r="585" spans="2:2" ht="13" x14ac:dyDescent="0.15">
      <c r="B585" s="33"/>
    </row>
    <row r="586" spans="2:2" ht="13" x14ac:dyDescent="0.15">
      <c r="B586" s="33"/>
    </row>
    <row r="587" spans="2:2" ht="13" x14ac:dyDescent="0.15">
      <c r="B587" s="33"/>
    </row>
    <row r="588" spans="2:2" ht="13" x14ac:dyDescent="0.15">
      <c r="B588" s="33"/>
    </row>
    <row r="589" spans="2:2" ht="13" x14ac:dyDescent="0.15">
      <c r="B589" s="33"/>
    </row>
    <row r="590" spans="2:2" ht="13" x14ac:dyDescent="0.15">
      <c r="B590" s="33"/>
    </row>
    <row r="591" spans="2:2" ht="13" x14ac:dyDescent="0.15">
      <c r="B591" s="33"/>
    </row>
    <row r="592" spans="2:2" ht="13" x14ac:dyDescent="0.15">
      <c r="B592" s="33"/>
    </row>
    <row r="593" spans="2:2" ht="13" x14ac:dyDescent="0.15">
      <c r="B593" s="33"/>
    </row>
    <row r="594" spans="2:2" ht="13" x14ac:dyDescent="0.15">
      <c r="B594" s="33"/>
    </row>
    <row r="595" spans="2:2" ht="13" x14ac:dyDescent="0.15">
      <c r="B595" s="33"/>
    </row>
    <row r="596" spans="2:2" ht="13" x14ac:dyDescent="0.15">
      <c r="B596" s="33"/>
    </row>
    <row r="597" spans="2:2" ht="13" x14ac:dyDescent="0.15">
      <c r="B597" s="33"/>
    </row>
    <row r="598" spans="2:2" ht="13" x14ac:dyDescent="0.15">
      <c r="B598" s="33"/>
    </row>
    <row r="599" spans="2:2" ht="13" x14ac:dyDescent="0.15">
      <c r="B599" s="33"/>
    </row>
    <row r="600" spans="2:2" ht="13" x14ac:dyDescent="0.15">
      <c r="B600" s="33"/>
    </row>
    <row r="601" spans="2:2" ht="13" x14ac:dyDescent="0.15">
      <c r="B601" s="33"/>
    </row>
    <row r="602" spans="2:2" ht="13" x14ac:dyDescent="0.15">
      <c r="B602" s="33"/>
    </row>
    <row r="603" spans="2:2" ht="13" x14ac:dyDescent="0.15">
      <c r="B603" s="33"/>
    </row>
    <row r="604" spans="2:2" ht="13" x14ac:dyDescent="0.15">
      <c r="B604" s="33"/>
    </row>
    <row r="605" spans="2:2" ht="13" x14ac:dyDescent="0.15">
      <c r="B605" s="33"/>
    </row>
    <row r="606" spans="2:2" ht="13" x14ac:dyDescent="0.15">
      <c r="B606" s="33"/>
    </row>
    <row r="607" spans="2:2" ht="13" x14ac:dyDescent="0.15">
      <c r="B607" s="33"/>
    </row>
    <row r="608" spans="2:2" ht="13" x14ac:dyDescent="0.15">
      <c r="B608" s="33"/>
    </row>
    <row r="609" spans="2:2" ht="13" x14ac:dyDescent="0.15">
      <c r="B609" s="33"/>
    </row>
    <row r="610" spans="2:2" ht="13" x14ac:dyDescent="0.15">
      <c r="B610" s="33"/>
    </row>
    <row r="611" spans="2:2" ht="13" x14ac:dyDescent="0.15">
      <c r="B611" s="33"/>
    </row>
    <row r="612" spans="2:2" ht="13" x14ac:dyDescent="0.15">
      <c r="B612" s="33"/>
    </row>
    <row r="613" spans="2:2" ht="13" x14ac:dyDescent="0.15">
      <c r="B613" s="33"/>
    </row>
    <row r="614" spans="2:2" ht="13" x14ac:dyDescent="0.15">
      <c r="B614" s="33"/>
    </row>
    <row r="615" spans="2:2" ht="13" x14ac:dyDescent="0.15">
      <c r="B615" s="33"/>
    </row>
    <row r="616" spans="2:2" ht="13" x14ac:dyDescent="0.15">
      <c r="B616" s="33"/>
    </row>
    <row r="617" spans="2:2" ht="13" x14ac:dyDescent="0.15">
      <c r="B617" s="33"/>
    </row>
    <row r="618" spans="2:2" ht="13" x14ac:dyDescent="0.15">
      <c r="B618" s="33"/>
    </row>
    <row r="619" spans="2:2" ht="13" x14ac:dyDescent="0.15">
      <c r="B619" s="33"/>
    </row>
    <row r="620" spans="2:2" ht="13" x14ac:dyDescent="0.15">
      <c r="B620" s="33"/>
    </row>
    <row r="621" spans="2:2" ht="13" x14ac:dyDescent="0.15">
      <c r="B621" s="33"/>
    </row>
    <row r="622" spans="2:2" ht="13" x14ac:dyDescent="0.15">
      <c r="B622" s="33"/>
    </row>
    <row r="623" spans="2:2" ht="13" x14ac:dyDescent="0.15">
      <c r="B623" s="33"/>
    </row>
    <row r="624" spans="2:2" ht="13" x14ac:dyDescent="0.15">
      <c r="B624" s="33"/>
    </row>
    <row r="625" spans="2:2" ht="13" x14ac:dyDescent="0.15">
      <c r="B625" s="33"/>
    </row>
    <row r="626" spans="2:2" ht="13" x14ac:dyDescent="0.15">
      <c r="B626" s="33"/>
    </row>
    <row r="627" spans="2:2" ht="13" x14ac:dyDescent="0.15">
      <c r="B627" s="33"/>
    </row>
    <row r="628" spans="2:2" ht="13" x14ac:dyDescent="0.15">
      <c r="B628" s="33"/>
    </row>
    <row r="629" spans="2:2" ht="13" x14ac:dyDescent="0.15">
      <c r="B629" s="33"/>
    </row>
    <row r="630" spans="2:2" ht="13" x14ac:dyDescent="0.15">
      <c r="B630" s="33"/>
    </row>
    <row r="631" spans="2:2" ht="13" x14ac:dyDescent="0.15">
      <c r="B631" s="33"/>
    </row>
    <row r="632" spans="2:2" ht="13" x14ac:dyDescent="0.15">
      <c r="B632" s="33"/>
    </row>
    <row r="633" spans="2:2" ht="13" x14ac:dyDescent="0.15">
      <c r="B633" s="33"/>
    </row>
    <row r="634" spans="2:2" ht="13" x14ac:dyDescent="0.15">
      <c r="B634" s="33"/>
    </row>
    <row r="635" spans="2:2" ht="13" x14ac:dyDescent="0.15">
      <c r="B635" s="33"/>
    </row>
    <row r="636" spans="2:2" ht="13" x14ac:dyDescent="0.15">
      <c r="B636" s="33"/>
    </row>
    <row r="637" spans="2:2" ht="13" x14ac:dyDescent="0.15">
      <c r="B637" s="33"/>
    </row>
    <row r="638" spans="2:2" ht="13" x14ac:dyDescent="0.15">
      <c r="B638" s="33"/>
    </row>
    <row r="639" spans="2:2" ht="13" x14ac:dyDescent="0.15">
      <c r="B639" s="33"/>
    </row>
    <row r="640" spans="2:2" ht="13" x14ac:dyDescent="0.15">
      <c r="B640" s="33"/>
    </row>
    <row r="641" spans="2:2" ht="13" x14ac:dyDescent="0.15">
      <c r="B641" s="33"/>
    </row>
    <row r="642" spans="2:2" ht="13" x14ac:dyDescent="0.15">
      <c r="B642" s="33"/>
    </row>
    <row r="643" spans="2:2" ht="13" x14ac:dyDescent="0.15">
      <c r="B643" s="33"/>
    </row>
    <row r="644" spans="2:2" ht="13" x14ac:dyDescent="0.15">
      <c r="B644" s="33"/>
    </row>
    <row r="645" spans="2:2" ht="13" x14ac:dyDescent="0.15">
      <c r="B645" s="33"/>
    </row>
    <row r="646" spans="2:2" ht="13" x14ac:dyDescent="0.15">
      <c r="B646" s="33"/>
    </row>
    <row r="647" spans="2:2" ht="13" x14ac:dyDescent="0.15">
      <c r="B647" s="33"/>
    </row>
    <row r="648" spans="2:2" ht="13" x14ac:dyDescent="0.15">
      <c r="B648" s="33"/>
    </row>
    <row r="649" spans="2:2" ht="13" x14ac:dyDescent="0.15">
      <c r="B649" s="33"/>
    </row>
    <row r="650" spans="2:2" ht="13" x14ac:dyDescent="0.15">
      <c r="B650" s="33"/>
    </row>
    <row r="651" spans="2:2" ht="13" x14ac:dyDescent="0.15">
      <c r="B651" s="33"/>
    </row>
    <row r="652" spans="2:2" ht="13" x14ac:dyDescent="0.15">
      <c r="B652" s="33"/>
    </row>
    <row r="653" spans="2:2" ht="13" x14ac:dyDescent="0.15">
      <c r="B653" s="33"/>
    </row>
    <row r="654" spans="2:2" ht="13" x14ac:dyDescent="0.15">
      <c r="B654" s="33"/>
    </row>
    <row r="655" spans="2:2" ht="13" x14ac:dyDescent="0.15">
      <c r="B655" s="33"/>
    </row>
    <row r="656" spans="2:2" ht="13" x14ac:dyDescent="0.15">
      <c r="B656" s="33"/>
    </row>
    <row r="657" spans="2:2" ht="13" x14ac:dyDescent="0.15">
      <c r="B657" s="33"/>
    </row>
    <row r="658" spans="2:2" ht="13" x14ac:dyDescent="0.15">
      <c r="B658" s="33"/>
    </row>
    <row r="659" spans="2:2" ht="13" x14ac:dyDescent="0.15">
      <c r="B659" s="33"/>
    </row>
    <row r="660" spans="2:2" ht="13" x14ac:dyDescent="0.15">
      <c r="B660" s="33"/>
    </row>
    <row r="661" spans="2:2" ht="13" x14ac:dyDescent="0.15">
      <c r="B661" s="33"/>
    </row>
    <row r="662" spans="2:2" ht="13" x14ac:dyDescent="0.15">
      <c r="B662" s="33"/>
    </row>
    <row r="663" spans="2:2" ht="13" x14ac:dyDescent="0.15">
      <c r="B663" s="33"/>
    </row>
    <row r="664" spans="2:2" ht="13" x14ac:dyDescent="0.15">
      <c r="B664" s="33"/>
    </row>
    <row r="665" spans="2:2" ht="13" x14ac:dyDescent="0.15">
      <c r="B665" s="33"/>
    </row>
    <row r="666" spans="2:2" ht="13" x14ac:dyDescent="0.15">
      <c r="B666" s="33"/>
    </row>
    <row r="667" spans="2:2" ht="13" x14ac:dyDescent="0.15">
      <c r="B667" s="33"/>
    </row>
    <row r="668" spans="2:2" ht="13" x14ac:dyDescent="0.15">
      <c r="B668" s="33"/>
    </row>
    <row r="669" spans="2:2" ht="13" x14ac:dyDescent="0.15">
      <c r="B669" s="33"/>
    </row>
    <row r="670" spans="2:2" ht="13" x14ac:dyDescent="0.15">
      <c r="B670" s="33"/>
    </row>
    <row r="671" spans="2:2" ht="13" x14ac:dyDescent="0.15">
      <c r="B671" s="33"/>
    </row>
    <row r="672" spans="2:2" ht="13" x14ac:dyDescent="0.15">
      <c r="B672" s="33"/>
    </row>
    <row r="673" spans="2:2" ht="13" x14ac:dyDescent="0.15">
      <c r="B673" s="33"/>
    </row>
    <row r="674" spans="2:2" ht="13" x14ac:dyDescent="0.15">
      <c r="B674" s="33"/>
    </row>
    <row r="675" spans="2:2" ht="13" x14ac:dyDescent="0.15">
      <c r="B675" s="33"/>
    </row>
    <row r="676" spans="2:2" ht="13" x14ac:dyDescent="0.15">
      <c r="B676" s="33"/>
    </row>
    <row r="677" spans="2:2" ht="13" x14ac:dyDescent="0.15">
      <c r="B677" s="33"/>
    </row>
    <row r="678" spans="2:2" ht="13" x14ac:dyDescent="0.15">
      <c r="B678" s="33"/>
    </row>
    <row r="679" spans="2:2" ht="13" x14ac:dyDescent="0.15">
      <c r="B679" s="33"/>
    </row>
    <row r="680" spans="2:2" ht="13" x14ac:dyDescent="0.15">
      <c r="B680" s="33"/>
    </row>
    <row r="681" spans="2:2" ht="13" x14ac:dyDescent="0.15">
      <c r="B681" s="33"/>
    </row>
    <row r="682" spans="2:2" ht="13" x14ac:dyDescent="0.15">
      <c r="B682" s="33"/>
    </row>
    <row r="683" spans="2:2" ht="13" x14ac:dyDescent="0.15">
      <c r="B683" s="33"/>
    </row>
    <row r="684" spans="2:2" ht="13" x14ac:dyDescent="0.15">
      <c r="B684" s="33"/>
    </row>
    <row r="685" spans="2:2" ht="13" x14ac:dyDescent="0.15">
      <c r="B685" s="33"/>
    </row>
    <row r="686" spans="2:2" ht="13" x14ac:dyDescent="0.15">
      <c r="B686" s="33"/>
    </row>
    <row r="687" spans="2:2" ht="13" x14ac:dyDescent="0.15">
      <c r="B687" s="33"/>
    </row>
    <row r="688" spans="2:2" ht="13" x14ac:dyDescent="0.15">
      <c r="B688" s="33"/>
    </row>
    <row r="689" spans="2:2" ht="13" x14ac:dyDescent="0.15">
      <c r="B689" s="33"/>
    </row>
    <row r="690" spans="2:2" ht="13" x14ac:dyDescent="0.15">
      <c r="B690" s="33"/>
    </row>
    <row r="691" spans="2:2" ht="13" x14ac:dyDescent="0.15">
      <c r="B691" s="33"/>
    </row>
    <row r="692" spans="2:2" ht="13" x14ac:dyDescent="0.15">
      <c r="B692" s="33"/>
    </row>
    <row r="693" spans="2:2" ht="13" x14ac:dyDescent="0.15">
      <c r="B693" s="33"/>
    </row>
    <row r="694" spans="2:2" ht="13" x14ac:dyDescent="0.15">
      <c r="B694" s="33"/>
    </row>
    <row r="695" spans="2:2" ht="13" x14ac:dyDescent="0.15">
      <c r="B695" s="33"/>
    </row>
    <row r="696" spans="2:2" ht="13" x14ac:dyDescent="0.15">
      <c r="B696" s="33"/>
    </row>
    <row r="697" spans="2:2" ht="13" x14ac:dyDescent="0.15">
      <c r="B697" s="33"/>
    </row>
    <row r="698" spans="2:2" ht="13" x14ac:dyDescent="0.15">
      <c r="B698" s="33"/>
    </row>
    <row r="699" spans="2:2" ht="13" x14ac:dyDescent="0.15">
      <c r="B699" s="33"/>
    </row>
    <row r="700" spans="2:2" ht="13" x14ac:dyDescent="0.15">
      <c r="B700" s="33"/>
    </row>
    <row r="701" spans="2:2" ht="13" x14ac:dyDescent="0.15">
      <c r="B701" s="33"/>
    </row>
    <row r="702" spans="2:2" ht="13" x14ac:dyDescent="0.15">
      <c r="B702" s="33"/>
    </row>
    <row r="703" spans="2:2" ht="13" x14ac:dyDescent="0.15">
      <c r="B703" s="33"/>
    </row>
    <row r="704" spans="2:2" ht="13" x14ac:dyDescent="0.15">
      <c r="B704" s="33"/>
    </row>
    <row r="705" spans="2:2" ht="13" x14ac:dyDescent="0.15">
      <c r="B705" s="33"/>
    </row>
    <row r="706" spans="2:2" ht="13" x14ac:dyDescent="0.15">
      <c r="B706" s="33"/>
    </row>
    <row r="707" spans="2:2" ht="13" x14ac:dyDescent="0.15">
      <c r="B707" s="33"/>
    </row>
    <row r="708" spans="2:2" ht="13" x14ac:dyDescent="0.15">
      <c r="B708" s="33"/>
    </row>
    <row r="709" spans="2:2" ht="13" x14ac:dyDescent="0.15">
      <c r="B709" s="33"/>
    </row>
    <row r="710" spans="2:2" ht="13" x14ac:dyDescent="0.15">
      <c r="B710" s="33"/>
    </row>
    <row r="711" spans="2:2" ht="13" x14ac:dyDescent="0.15">
      <c r="B711" s="33"/>
    </row>
    <row r="712" spans="2:2" ht="13" x14ac:dyDescent="0.15">
      <c r="B712" s="33"/>
    </row>
    <row r="713" spans="2:2" ht="13" x14ac:dyDescent="0.15">
      <c r="B713" s="33"/>
    </row>
    <row r="714" spans="2:2" ht="13" x14ac:dyDescent="0.15">
      <c r="B714" s="33"/>
    </row>
    <row r="715" spans="2:2" ht="13" x14ac:dyDescent="0.15">
      <c r="B715" s="33"/>
    </row>
    <row r="716" spans="2:2" ht="13" x14ac:dyDescent="0.15">
      <c r="B716" s="33"/>
    </row>
    <row r="717" spans="2:2" ht="13" x14ac:dyDescent="0.15">
      <c r="B717" s="33"/>
    </row>
    <row r="718" spans="2:2" ht="13" x14ac:dyDescent="0.15">
      <c r="B718" s="33"/>
    </row>
    <row r="719" spans="2:2" ht="13" x14ac:dyDescent="0.15">
      <c r="B719" s="33"/>
    </row>
    <row r="720" spans="2:2" ht="13" x14ac:dyDescent="0.15">
      <c r="B720" s="33"/>
    </row>
    <row r="721" spans="2:2" ht="13" x14ac:dyDescent="0.15">
      <c r="B721" s="33"/>
    </row>
    <row r="722" spans="2:2" ht="13" x14ac:dyDescent="0.15">
      <c r="B722" s="33"/>
    </row>
    <row r="723" spans="2:2" ht="13" x14ac:dyDescent="0.15">
      <c r="B723" s="33"/>
    </row>
    <row r="724" spans="2:2" ht="13" x14ac:dyDescent="0.15">
      <c r="B724" s="33"/>
    </row>
    <row r="725" spans="2:2" ht="13" x14ac:dyDescent="0.15">
      <c r="B725" s="33"/>
    </row>
    <row r="726" spans="2:2" ht="13" x14ac:dyDescent="0.15">
      <c r="B726" s="33"/>
    </row>
    <row r="727" spans="2:2" ht="13" x14ac:dyDescent="0.15">
      <c r="B727" s="33"/>
    </row>
    <row r="728" spans="2:2" ht="13" x14ac:dyDescent="0.15">
      <c r="B728" s="33"/>
    </row>
    <row r="729" spans="2:2" ht="13" x14ac:dyDescent="0.15">
      <c r="B729" s="33"/>
    </row>
    <row r="730" spans="2:2" ht="13" x14ac:dyDescent="0.15">
      <c r="B730" s="33"/>
    </row>
    <row r="731" spans="2:2" ht="13" x14ac:dyDescent="0.15">
      <c r="B731" s="33"/>
    </row>
    <row r="732" spans="2:2" ht="13" x14ac:dyDescent="0.15">
      <c r="B732" s="33"/>
    </row>
    <row r="733" spans="2:2" ht="13" x14ac:dyDescent="0.15">
      <c r="B733" s="33"/>
    </row>
    <row r="734" spans="2:2" ht="13" x14ac:dyDescent="0.15">
      <c r="B734" s="33"/>
    </row>
    <row r="735" spans="2:2" ht="13" x14ac:dyDescent="0.15">
      <c r="B735" s="33"/>
    </row>
    <row r="736" spans="2:2" ht="13" x14ac:dyDescent="0.15">
      <c r="B736" s="33"/>
    </row>
    <row r="737" spans="2:2" ht="13" x14ac:dyDescent="0.15">
      <c r="B737" s="33"/>
    </row>
    <row r="738" spans="2:2" ht="13" x14ac:dyDescent="0.15">
      <c r="B738" s="33"/>
    </row>
    <row r="739" spans="2:2" ht="13" x14ac:dyDescent="0.15">
      <c r="B739" s="33"/>
    </row>
    <row r="740" spans="2:2" ht="13" x14ac:dyDescent="0.15">
      <c r="B740" s="33"/>
    </row>
    <row r="741" spans="2:2" ht="13" x14ac:dyDescent="0.15">
      <c r="B741" s="33"/>
    </row>
    <row r="742" spans="2:2" ht="13" x14ac:dyDescent="0.15">
      <c r="B742" s="33"/>
    </row>
    <row r="743" spans="2:2" ht="13" x14ac:dyDescent="0.15">
      <c r="B743" s="33"/>
    </row>
    <row r="744" spans="2:2" ht="13" x14ac:dyDescent="0.15">
      <c r="B744" s="33"/>
    </row>
    <row r="745" spans="2:2" ht="13" x14ac:dyDescent="0.15">
      <c r="B745" s="33"/>
    </row>
    <row r="746" spans="2:2" ht="13" x14ac:dyDescent="0.15">
      <c r="B746" s="33"/>
    </row>
    <row r="747" spans="2:2" ht="13" x14ac:dyDescent="0.15">
      <c r="B747" s="33"/>
    </row>
    <row r="748" spans="2:2" ht="13" x14ac:dyDescent="0.15">
      <c r="B748" s="33"/>
    </row>
    <row r="749" spans="2:2" ht="13" x14ac:dyDescent="0.15">
      <c r="B749" s="33"/>
    </row>
    <row r="750" spans="2:2" ht="13" x14ac:dyDescent="0.15">
      <c r="B750" s="33"/>
    </row>
    <row r="751" spans="2:2" ht="13" x14ac:dyDescent="0.15">
      <c r="B751" s="33"/>
    </row>
    <row r="752" spans="2:2" ht="13" x14ac:dyDescent="0.15">
      <c r="B752" s="33"/>
    </row>
    <row r="753" spans="2:2" ht="13" x14ac:dyDescent="0.15">
      <c r="B753" s="33"/>
    </row>
    <row r="754" spans="2:2" ht="13" x14ac:dyDescent="0.15">
      <c r="B754" s="33"/>
    </row>
    <row r="755" spans="2:2" ht="13" x14ac:dyDescent="0.15">
      <c r="B755" s="33"/>
    </row>
    <row r="756" spans="2:2" ht="13" x14ac:dyDescent="0.15">
      <c r="B756" s="33"/>
    </row>
    <row r="757" spans="2:2" ht="13" x14ac:dyDescent="0.15">
      <c r="B757" s="33"/>
    </row>
    <row r="758" spans="2:2" ht="13" x14ac:dyDescent="0.15">
      <c r="B758" s="33"/>
    </row>
    <row r="759" spans="2:2" ht="13" x14ac:dyDescent="0.15">
      <c r="B759" s="33"/>
    </row>
    <row r="760" spans="2:2" ht="13" x14ac:dyDescent="0.15">
      <c r="B760" s="33"/>
    </row>
    <row r="761" spans="2:2" ht="13" x14ac:dyDescent="0.15">
      <c r="B761" s="33"/>
    </row>
    <row r="762" spans="2:2" ht="13" x14ac:dyDescent="0.15">
      <c r="B762" s="33"/>
    </row>
    <row r="763" spans="2:2" ht="13" x14ac:dyDescent="0.15">
      <c r="B763" s="33"/>
    </row>
    <row r="764" spans="2:2" ht="13" x14ac:dyDescent="0.15">
      <c r="B764" s="33"/>
    </row>
    <row r="765" spans="2:2" ht="13" x14ac:dyDescent="0.15">
      <c r="B765" s="33"/>
    </row>
    <row r="766" spans="2:2" ht="13" x14ac:dyDescent="0.15">
      <c r="B766" s="33"/>
    </row>
    <row r="767" spans="2:2" ht="13" x14ac:dyDescent="0.15">
      <c r="B767" s="33"/>
    </row>
    <row r="768" spans="2:2" ht="13" x14ac:dyDescent="0.15">
      <c r="B768" s="33"/>
    </row>
    <row r="769" spans="2:2" ht="13" x14ac:dyDescent="0.15">
      <c r="B769" s="33"/>
    </row>
    <row r="770" spans="2:2" ht="13" x14ac:dyDescent="0.15">
      <c r="B770" s="33"/>
    </row>
    <row r="771" spans="2:2" ht="13" x14ac:dyDescent="0.15">
      <c r="B771" s="33"/>
    </row>
    <row r="772" spans="2:2" ht="13" x14ac:dyDescent="0.15">
      <c r="B772" s="33"/>
    </row>
    <row r="773" spans="2:2" ht="13" x14ac:dyDescent="0.15">
      <c r="B773" s="33"/>
    </row>
    <row r="774" spans="2:2" ht="13" x14ac:dyDescent="0.15">
      <c r="B774" s="33"/>
    </row>
    <row r="775" spans="2:2" ht="13" x14ac:dyDescent="0.15">
      <c r="B775" s="33"/>
    </row>
    <row r="776" spans="2:2" ht="13" x14ac:dyDescent="0.15">
      <c r="B776" s="33"/>
    </row>
    <row r="777" spans="2:2" ht="13" x14ac:dyDescent="0.15">
      <c r="B777" s="33"/>
    </row>
    <row r="778" spans="2:2" ht="13" x14ac:dyDescent="0.15">
      <c r="B778" s="33"/>
    </row>
    <row r="779" spans="2:2" ht="13" x14ac:dyDescent="0.15">
      <c r="B779" s="33"/>
    </row>
    <row r="780" spans="2:2" ht="13" x14ac:dyDescent="0.15">
      <c r="B780" s="33"/>
    </row>
    <row r="781" spans="2:2" ht="13" x14ac:dyDescent="0.15">
      <c r="B781" s="33"/>
    </row>
    <row r="782" spans="2:2" ht="13" x14ac:dyDescent="0.15">
      <c r="B782" s="33"/>
    </row>
    <row r="783" spans="2:2" ht="13" x14ac:dyDescent="0.15">
      <c r="B783" s="33"/>
    </row>
    <row r="784" spans="2:2" ht="13" x14ac:dyDescent="0.15">
      <c r="B784" s="33"/>
    </row>
    <row r="785" spans="2:2" ht="13" x14ac:dyDescent="0.15">
      <c r="B785" s="33"/>
    </row>
    <row r="786" spans="2:2" ht="13" x14ac:dyDescent="0.15">
      <c r="B786" s="33"/>
    </row>
    <row r="787" spans="2:2" ht="13" x14ac:dyDescent="0.15">
      <c r="B787" s="33"/>
    </row>
    <row r="788" spans="2:2" ht="13" x14ac:dyDescent="0.15">
      <c r="B788" s="33"/>
    </row>
    <row r="789" spans="2:2" ht="13" x14ac:dyDescent="0.15">
      <c r="B789" s="33"/>
    </row>
    <row r="790" spans="2:2" ht="13" x14ac:dyDescent="0.15">
      <c r="B790" s="33"/>
    </row>
    <row r="791" spans="2:2" ht="13" x14ac:dyDescent="0.15">
      <c r="B791" s="33"/>
    </row>
    <row r="792" spans="2:2" ht="13" x14ac:dyDescent="0.15">
      <c r="B792" s="33"/>
    </row>
    <row r="793" spans="2:2" ht="13" x14ac:dyDescent="0.15">
      <c r="B793" s="33"/>
    </row>
    <row r="794" spans="2:2" ht="13" x14ac:dyDescent="0.15">
      <c r="B794" s="33"/>
    </row>
    <row r="795" spans="2:2" ht="13" x14ac:dyDescent="0.15">
      <c r="B795" s="33"/>
    </row>
    <row r="796" spans="2:2" ht="13" x14ac:dyDescent="0.15">
      <c r="B796" s="33"/>
    </row>
    <row r="797" spans="2:2" ht="13" x14ac:dyDescent="0.15">
      <c r="B797" s="33"/>
    </row>
    <row r="798" spans="2:2" ht="13" x14ac:dyDescent="0.15">
      <c r="B798" s="33"/>
    </row>
    <row r="799" spans="2:2" ht="13" x14ac:dyDescent="0.15">
      <c r="B799" s="33"/>
    </row>
    <row r="800" spans="2:2" ht="13" x14ac:dyDescent="0.15">
      <c r="B800" s="33"/>
    </row>
    <row r="801" spans="2:2" ht="13" x14ac:dyDescent="0.15">
      <c r="B801" s="33"/>
    </row>
    <row r="802" spans="2:2" ht="13" x14ac:dyDescent="0.15">
      <c r="B802" s="33"/>
    </row>
    <row r="803" spans="2:2" ht="13" x14ac:dyDescent="0.15">
      <c r="B803" s="33"/>
    </row>
    <row r="804" spans="2:2" ht="13" x14ac:dyDescent="0.15">
      <c r="B804" s="33"/>
    </row>
    <row r="805" spans="2:2" ht="13" x14ac:dyDescent="0.15">
      <c r="B805" s="33"/>
    </row>
    <row r="806" spans="2:2" ht="13" x14ac:dyDescent="0.15">
      <c r="B806" s="33"/>
    </row>
    <row r="807" spans="2:2" ht="13" x14ac:dyDescent="0.15">
      <c r="B807" s="33"/>
    </row>
    <row r="808" spans="2:2" ht="13" x14ac:dyDescent="0.15">
      <c r="B808" s="33"/>
    </row>
    <row r="809" spans="2:2" ht="13" x14ac:dyDescent="0.15">
      <c r="B809" s="33"/>
    </row>
    <row r="810" spans="2:2" ht="13" x14ac:dyDescent="0.15">
      <c r="B810" s="33"/>
    </row>
    <row r="811" spans="2:2" ht="13" x14ac:dyDescent="0.15">
      <c r="B811" s="33"/>
    </row>
    <row r="812" spans="2:2" ht="13" x14ac:dyDescent="0.15">
      <c r="B812" s="33"/>
    </row>
    <row r="813" spans="2:2" ht="13" x14ac:dyDescent="0.15">
      <c r="B813" s="33"/>
    </row>
    <row r="814" spans="2:2" ht="13" x14ac:dyDescent="0.15">
      <c r="B814" s="33"/>
    </row>
    <row r="815" spans="2:2" ht="13" x14ac:dyDescent="0.15">
      <c r="B815" s="33"/>
    </row>
    <row r="816" spans="2:2" ht="13" x14ac:dyDescent="0.15">
      <c r="B816" s="33"/>
    </row>
    <row r="817" spans="2:2" ht="13" x14ac:dyDescent="0.15">
      <c r="B817" s="33"/>
    </row>
    <row r="818" spans="2:2" ht="13" x14ac:dyDescent="0.15">
      <c r="B818" s="33"/>
    </row>
    <row r="819" spans="2:2" ht="13" x14ac:dyDescent="0.15">
      <c r="B819" s="33"/>
    </row>
    <row r="820" spans="2:2" ht="13" x14ac:dyDescent="0.15">
      <c r="B820" s="33"/>
    </row>
    <row r="821" spans="2:2" ht="13" x14ac:dyDescent="0.15">
      <c r="B821" s="33"/>
    </row>
    <row r="822" spans="2:2" ht="13" x14ac:dyDescent="0.15">
      <c r="B822" s="33"/>
    </row>
    <row r="823" spans="2:2" ht="13" x14ac:dyDescent="0.15">
      <c r="B823" s="33"/>
    </row>
    <row r="824" spans="2:2" ht="13" x14ac:dyDescent="0.15">
      <c r="B824" s="33"/>
    </row>
    <row r="825" spans="2:2" ht="13" x14ac:dyDescent="0.15">
      <c r="B825" s="33"/>
    </row>
    <row r="826" spans="2:2" ht="13" x14ac:dyDescent="0.15">
      <c r="B826" s="33"/>
    </row>
    <row r="827" spans="2:2" ht="13" x14ac:dyDescent="0.15">
      <c r="B827" s="33"/>
    </row>
    <row r="828" spans="2:2" ht="13" x14ac:dyDescent="0.15">
      <c r="B828" s="33"/>
    </row>
    <row r="829" spans="2:2" ht="13" x14ac:dyDescent="0.15">
      <c r="B829" s="33"/>
    </row>
    <row r="830" spans="2:2" ht="13" x14ac:dyDescent="0.15">
      <c r="B830" s="33"/>
    </row>
    <row r="831" spans="2:2" ht="13" x14ac:dyDescent="0.15">
      <c r="B831" s="33"/>
    </row>
    <row r="832" spans="2:2" ht="13" x14ac:dyDescent="0.15">
      <c r="B832" s="33"/>
    </row>
    <row r="833" spans="2:2" ht="13" x14ac:dyDescent="0.15">
      <c r="B833" s="33"/>
    </row>
    <row r="834" spans="2:2" ht="13" x14ac:dyDescent="0.15">
      <c r="B834" s="33"/>
    </row>
    <row r="835" spans="2:2" ht="13" x14ac:dyDescent="0.15">
      <c r="B835" s="33"/>
    </row>
    <row r="836" spans="2:2" ht="13" x14ac:dyDescent="0.15">
      <c r="B836" s="33"/>
    </row>
    <row r="837" spans="2:2" ht="13" x14ac:dyDescent="0.15">
      <c r="B837" s="33"/>
    </row>
    <row r="838" spans="2:2" ht="13" x14ac:dyDescent="0.15">
      <c r="B838" s="33"/>
    </row>
    <row r="839" spans="2:2" ht="13" x14ac:dyDescent="0.15">
      <c r="B839" s="33"/>
    </row>
    <row r="840" spans="2:2" ht="13" x14ac:dyDescent="0.15">
      <c r="B840" s="33"/>
    </row>
    <row r="841" spans="2:2" ht="13" x14ac:dyDescent="0.15">
      <c r="B841" s="33"/>
    </row>
    <row r="842" spans="2:2" ht="13" x14ac:dyDescent="0.15">
      <c r="B842" s="33"/>
    </row>
    <row r="843" spans="2:2" ht="13" x14ac:dyDescent="0.15">
      <c r="B843" s="33"/>
    </row>
    <row r="844" spans="2:2" ht="13" x14ac:dyDescent="0.15">
      <c r="B844" s="33"/>
    </row>
    <row r="845" spans="2:2" ht="13" x14ac:dyDescent="0.15">
      <c r="B845" s="33"/>
    </row>
    <row r="846" spans="2:2" ht="13" x14ac:dyDescent="0.15">
      <c r="B846" s="33"/>
    </row>
    <row r="847" spans="2:2" ht="13" x14ac:dyDescent="0.15">
      <c r="B847" s="33"/>
    </row>
    <row r="848" spans="2:2" ht="13" x14ac:dyDescent="0.15">
      <c r="B848" s="33"/>
    </row>
    <row r="849" spans="2:2" ht="13" x14ac:dyDescent="0.15">
      <c r="B849" s="33"/>
    </row>
    <row r="850" spans="2:2" ht="13" x14ac:dyDescent="0.15">
      <c r="B850" s="33"/>
    </row>
    <row r="851" spans="2:2" ht="13" x14ac:dyDescent="0.15">
      <c r="B851" s="33"/>
    </row>
    <row r="852" spans="2:2" ht="13" x14ac:dyDescent="0.15">
      <c r="B852" s="33"/>
    </row>
    <row r="853" spans="2:2" ht="13" x14ac:dyDescent="0.15">
      <c r="B853" s="33"/>
    </row>
    <row r="854" spans="2:2" ht="13" x14ac:dyDescent="0.15">
      <c r="B854" s="33"/>
    </row>
    <row r="855" spans="2:2" ht="13" x14ac:dyDescent="0.15">
      <c r="B855" s="33"/>
    </row>
    <row r="856" spans="2:2" ht="13" x14ac:dyDescent="0.15">
      <c r="B856" s="33"/>
    </row>
    <row r="857" spans="2:2" ht="13" x14ac:dyDescent="0.15">
      <c r="B857" s="33"/>
    </row>
    <row r="858" spans="2:2" ht="13" x14ac:dyDescent="0.15">
      <c r="B858" s="33"/>
    </row>
    <row r="859" spans="2:2" ht="13" x14ac:dyDescent="0.15">
      <c r="B859" s="33"/>
    </row>
    <row r="860" spans="2:2" ht="13" x14ac:dyDescent="0.15">
      <c r="B860" s="33"/>
    </row>
    <row r="861" spans="2:2" ht="13" x14ac:dyDescent="0.15">
      <c r="B861" s="33"/>
    </row>
    <row r="862" spans="2:2" ht="13" x14ac:dyDescent="0.15">
      <c r="B862" s="33"/>
    </row>
    <row r="863" spans="2:2" ht="13" x14ac:dyDescent="0.15">
      <c r="B863" s="33"/>
    </row>
    <row r="864" spans="2:2" ht="13" x14ac:dyDescent="0.15">
      <c r="B864" s="33"/>
    </row>
    <row r="865" spans="2:2" ht="13" x14ac:dyDescent="0.15">
      <c r="B865" s="33"/>
    </row>
    <row r="866" spans="2:2" ht="13" x14ac:dyDescent="0.15">
      <c r="B866" s="33"/>
    </row>
    <row r="867" spans="2:2" ht="13" x14ac:dyDescent="0.15">
      <c r="B867" s="33"/>
    </row>
    <row r="868" spans="2:2" ht="13" x14ac:dyDescent="0.15">
      <c r="B868" s="33"/>
    </row>
    <row r="869" spans="2:2" ht="13" x14ac:dyDescent="0.15">
      <c r="B869" s="33"/>
    </row>
    <row r="870" spans="2:2" ht="13" x14ac:dyDescent="0.15">
      <c r="B870" s="33"/>
    </row>
    <row r="871" spans="2:2" ht="13" x14ac:dyDescent="0.15">
      <c r="B871" s="33"/>
    </row>
    <row r="872" spans="2:2" ht="13" x14ac:dyDescent="0.15">
      <c r="B872" s="33"/>
    </row>
    <row r="873" spans="2:2" ht="13" x14ac:dyDescent="0.15">
      <c r="B873" s="33"/>
    </row>
    <row r="874" spans="2:2" ht="13" x14ac:dyDescent="0.15">
      <c r="B874" s="33"/>
    </row>
    <row r="875" spans="2:2" ht="13" x14ac:dyDescent="0.15">
      <c r="B875" s="33"/>
    </row>
    <row r="876" spans="2:2" ht="13" x14ac:dyDescent="0.15">
      <c r="B876" s="33"/>
    </row>
    <row r="877" spans="2:2" ht="13" x14ac:dyDescent="0.15">
      <c r="B877" s="33"/>
    </row>
    <row r="878" spans="2:2" ht="13" x14ac:dyDescent="0.15">
      <c r="B878" s="33"/>
    </row>
    <row r="879" spans="2:2" ht="13" x14ac:dyDescent="0.15">
      <c r="B879" s="33"/>
    </row>
    <row r="880" spans="2:2" ht="13" x14ac:dyDescent="0.15">
      <c r="B880" s="33"/>
    </row>
    <row r="881" spans="2:2" ht="13" x14ac:dyDescent="0.15">
      <c r="B881" s="33"/>
    </row>
    <row r="882" spans="2:2" ht="13" x14ac:dyDescent="0.15">
      <c r="B882" s="33"/>
    </row>
    <row r="883" spans="2:2" ht="13" x14ac:dyDescent="0.15">
      <c r="B883" s="33"/>
    </row>
    <row r="884" spans="2:2" ht="13" x14ac:dyDescent="0.15">
      <c r="B884" s="33"/>
    </row>
    <row r="885" spans="2:2" ht="13" x14ac:dyDescent="0.15">
      <c r="B885" s="33"/>
    </row>
    <row r="886" spans="2:2" ht="13" x14ac:dyDescent="0.15">
      <c r="B886" s="33"/>
    </row>
    <row r="887" spans="2:2" ht="13" x14ac:dyDescent="0.15">
      <c r="B887" s="33"/>
    </row>
    <row r="888" spans="2:2" ht="13" x14ac:dyDescent="0.15">
      <c r="B888" s="33"/>
    </row>
    <row r="889" spans="2:2" ht="13" x14ac:dyDescent="0.15">
      <c r="B889" s="33"/>
    </row>
    <row r="890" spans="2:2" ht="13" x14ac:dyDescent="0.15">
      <c r="B890" s="33"/>
    </row>
    <row r="891" spans="2:2" ht="13" x14ac:dyDescent="0.15">
      <c r="B891" s="33"/>
    </row>
    <row r="892" spans="2:2" ht="13" x14ac:dyDescent="0.15">
      <c r="B892" s="33"/>
    </row>
    <row r="893" spans="2:2" ht="13" x14ac:dyDescent="0.15">
      <c r="B893" s="33"/>
    </row>
    <row r="894" spans="2:2" ht="13" x14ac:dyDescent="0.15">
      <c r="B894" s="33"/>
    </row>
    <row r="895" spans="2:2" ht="13" x14ac:dyDescent="0.15">
      <c r="B895" s="33"/>
    </row>
    <row r="896" spans="2:2" ht="13" x14ac:dyDescent="0.15">
      <c r="B896" s="33"/>
    </row>
    <row r="897" spans="2:2" ht="13" x14ac:dyDescent="0.15">
      <c r="B897" s="33"/>
    </row>
    <row r="898" spans="2:2" ht="13" x14ac:dyDescent="0.15">
      <c r="B898" s="33"/>
    </row>
    <row r="899" spans="2:2" ht="13" x14ac:dyDescent="0.15">
      <c r="B899" s="33"/>
    </row>
    <row r="900" spans="2:2" ht="13" x14ac:dyDescent="0.15">
      <c r="B900" s="33"/>
    </row>
    <row r="901" spans="2:2" ht="13" x14ac:dyDescent="0.15">
      <c r="B901" s="33"/>
    </row>
    <row r="902" spans="2:2" ht="13" x14ac:dyDescent="0.15">
      <c r="B902" s="33"/>
    </row>
    <row r="903" spans="2:2" ht="13" x14ac:dyDescent="0.15">
      <c r="B903" s="33"/>
    </row>
    <row r="904" spans="2:2" ht="13" x14ac:dyDescent="0.15">
      <c r="B904" s="33"/>
    </row>
    <row r="905" spans="2:2" ht="13" x14ac:dyDescent="0.15">
      <c r="B905" s="33"/>
    </row>
    <row r="906" spans="2:2" ht="13" x14ac:dyDescent="0.15">
      <c r="B906" s="33"/>
    </row>
    <row r="907" spans="2:2" ht="13" x14ac:dyDescent="0.15">
      <c r="B907" s="33"/>
    </row>
    <row r="908" spans="2:2" ht="13" x14ac:dyDescent="0.15">
      <c r="B908" s="33"/>
    </row>
    <row r="909" spans="2:2" ht="13" x14ac:dyDescent="0.15">
      <c r="B909" s="33"/>
    </row>
    <row r="910" spans="2:2" ht="13" x14ac:dyDescent="0.15">
      <c r="B910" s="33"/>
    </row>
    <row r="911" spans="2:2" ht="13" x14ac:dyDescent="0.15">
      <c r="B911" s="33"/>
    </row>
    <row r="912" spans="2:2" ht="13" x14ac:dyDescent="0.15">
      <c r="B912" s="33"/>
    </row>
    <row r="913" spans="2:2" ht="13" x14ac:dyDescent="0.15">
      <c r="B913" s="33"/>
    </row>
    <row r="914" spans="2:2" ht="13" x14ac:dyDescent="0.15">
      <c r="B914" s="33"/>
    </row>
    <row r="915" spans="2:2" ht="13" x14ac:dyDescent="0.15">
      <c r="B915" s="33"/>
    </row>
    <row r="916" spans="2:2" ht="13" x14ac:dyDescent="0.15">
      <c r="B916" s="33"/>
    </row>
    <row r="917" spans="2:2" ht="13" x14ac:dyDescent="0.15">
      <c r="B917" s="33"/>
    </row>
    <row r="918" spans="2:2" ht="13" x14ac:dyDescent="0.15">
      <c r="B918" s="33"/>
    </row>
    <row r="919" spans="2:2" ht="13" x14ac:dyDescent="0.15">
      <c r="B919" s="33"/>
    </row>
    <row r="920" spans="2:2" ht="13" x14ac:dyDescent="0.15">
      <c r="B920" s="33"/>
    </row>
    <row r="921" spans="2:2" ht="13" x14ac:dyDescent="0.15">
      <c r="B921" s="33"/>
    </row>
    <row r="922" spans="2:2" ht="13" x14ac:dyDescent="0.15">
      <c r="B922" s="33"/>
    </row>
    <row r="923" spans="2:2" ht="13" x14ac:dyDescent="0.15">
      <c r="B923" s="33"/>
    </row>
    <row r="924" spans="2:2" ht="13" x14ac:dyDescent="0.15">
      <c r="B924" s="33"/>
    </row>
    <row r="925" spans="2:2" ht="13" x14ac:dyDescent="0.15">
      <c r="B925" s="33"/>
    </row>
    <row r="926" spans="2:2" ht="13" x14ac:dyDescent="0.15">
      <c r="B926" s="33"/>
    </row>
    <row r="927" spans="2:2" ht="13" x14ac:dyDescent="0.15">
      <c r="B927" s="33"/>
    </row>
    <row r="928" spans="2:2" ht="13" x14ac:dyDescent="0.15">
      <c r="B928" s="33"/>
    </row>
    <row r="929" spans="2:2" ht="13" x14ac:dyDescent="0.15">
      <c r="B929" s="33"/>
    </row>
    <row r="930" spans="2:2" ht="13" x14ac:dyDescent="0.15">
      <c r="B930" s="33"/>
    </row>
    <row r="931" spans="2:2" ht="13" x14ac:dyDescent="0.15">
      <c r="B931" s="33"/>
    </row>
    <row r="932" spans="2:2" ht="13" x14ac:dyDescent="0.15">
      <c r="B932" s="33"/>
    </row>
    <row r="933" spans="2:2" ht="13" x14ac:dyDescent="0.15">
      <c r="B933" s="33"/>
    </row>
    <row r="934" spans="2:2" ht="13" x14ac:dyDescent="0.15">
      <c r="B934" s="33"/>
    </row>
    <row r="935" spans="2:2" ht="13" x14ac:dyDescent="0.15">
      <c r="B935" s="33"/>
    </row>
    <row r="936" spans="2:2" ht="13" x14ac:dyDescent="0.15">
      <c r="B936" s="33"/>
    </row>
    <row r="937" spans="2:2" ht="13" x14ac:dyDescent="0.15">
      <c r="B937" s="33"/>
    </row>
    <row r="938" spans="2:2" ht="13" x14ac:dyDescent="0.15">
      <c r="B938" s="33"/>
    </row>
    <row r="939" spans="2:2" ht="13" x14ac:dyDescent="0.15">
      <c r="B939" s="33"/>
    </row>
    <row r="940" spans="2:2" ht="13" x14ac:dyDescent="0.15">
      <c r="B940" s="33"/>
    </row>
    <row r="941" spans="2:2" ht="13" x14ac:dyDescent="0.15">
      <c r="B941" s="33"/>
    </row>
    <row r="942" spans="2:2" ht="13" x14ac:dyDescent="0.15">
      <c r="B942" s="33"/>
    </row>
    <row r="943" spans="2:2" ht="13" x14ac:dyDescent="0.15">
      <c r="B943" s="33"/>
    </row>
    <row r="944" spans="2:2" ht="13" x14ac:dyDescent="0.15">
      <c r="B944" s="33"/>
    </row>
    <row r="945" spans="2:2" ht="13" x14ac:dyDescent="0.15">
      <c r="B945" s="33"/>
    </row>
    <row r="946" spans="2:2" ht="13" x14ac:dyDescent="0.15">
      <c r="B946" s="33"/>
    </row>
    <row r="947" spans="2:2" ht="13" x14ac:dyDescent="0.15">
      <c r="B947" s="33"/>
    </row>
    <row r="948" spans="2:2" ht="13" x14ac:dyDescent="0.15">
      <c r="B948" s="33"/>
    </row>
    <row r="949" spans="2:2" ht="13" x14ac:dyDescent="0.15">
      <c r="B949" s="33"/>
    </row>
    <row r="950" spans="2:2" ht="13" x14ac:dyDescent="0.15">
      <c r="B950" s="33"/>
    </row>
    <row r="951" spans="2:2" ht="13" x14ac:dyDescent="0.15">
      <c r="B951" s="33"/>
    </row>
    <row r="952" spans="2:2" ht="13" x14ac:dyDescent="0.15">
      <c r="B952" s="33"/>
    </row>
    <row r="953" spans="2:2" ht="13" x14ac:dyDescent="0.15">
      <c r="B953" s="33"/>
    </row>
    <row r="954" spans="2:2" ht="13" x14ac:dyDescent="0.15">
      <c r="B954" s="33"/>
    </row>
    <row r="955" spans="2:2" ht="13" x14ac:dyDescent="0.15">
      <c r="B955" s="33"/>
    </row>
    <row r="956" spans="2:2" ht="13" x14ac:dyDescent="0.15">
      <c r="B956" s="33"/>
    </row>
    <row r="957" spans="2:2" ht="13" x14ac:dyDescent="0.15">
      <c r="B957" s="33"/>
    </row>
    <row r="958" spans="2:2" ht="13" x14ac:dyDescent="0.15">
      <c r="B958" s="33"/>
    </row>
    <row r="959" spans="2:2" ht="13" x14ac:dyDescent="0.15">
      <c r="B959" s="33"/>
    </row>
    <row r="960" spans="2:2" ht="13" x14ac:dyDescent="0.15">
      <c r="B960" s="33"/>
    </row>
    <row r="961" spans="2:2" ht="13" x14ac:dyDescent="0.15">
      <c r="B961" s="33"/>
    </row>
    <row r="962" spans="2:2" ht="13" x14ac:dyDescent="0.15">
      <c r="B962" s="33"/>
    </row>
    <row r="963" spans="2:2" ht="13" x14ac:dyDescent="0.15">
      <c r="B963" s="33"/>
    </row>
    <row r="964" spans="2:2" ht="13" x14ac:dyDescent="0.15">
      <c r="B964" s="33"/>
    </row>
    <row r="965" spans="2:2" ht="13" x14ac:dyDescent="0.15">
      <c r="B965" s="33"/>
    </row>
    <row r="966" spans="2:2" ht="13" x14ac:dyDescent="0.15">
      <c r="B966" s="33"/>
    </row>
    <row r="967" spans="2:2" ht="13" x14ac:dyDescent="0.15">
      <c r="B967" s="33"/>
    </row>
    <row r="968" spans="2:2" ht="13" x14ac:dyDescent="0.15">
      <c r="B968" s="33"/>
    </row>
    <row r="969" spans="2:2" ht="13" x14ac:dyDescent="0.15">
      <c r="B969" s="33"/>
    </row>
    <row r="970" spans="2:2" ht="13" x14ac:dyDescent="0.15">
      <c r="B970" s="33"/>
    </row>
    <row r="971" spans="2:2" ht="13" x14ac:dyDescent="0.15">
      <c r="B971" s="33"/>
    </row>
    <row r="972" spans="2:2" ht="13" x14ac:dyDescent="0.15">
      <c r="B972" s="33"/>
    </row>
    <row r="973" spans="2:2" ht="13" x14ac:dyDescent="0.15">
      <c r="B973" s="33"/>
    </row>
    <row r="974" spans="2:2" ht="13" x14ac:dyDescent="0.15">
      <c r="B974" s="33"/>
    </row>
    <row r="975" spans="2:2" ht="13" x14ac:dyDescent="0.15">
      <c r="B975" s="33"/>
    </row>
    <row r="976" spans="2:2" ht="13" x14ac:dyDescent="0.15">
      <c r="B976" s="33"/>
    </row>
    <row r="977" spans="2:2" ht="13" x14ac:dyDescent="0.15">
      <c r="B977" s="33"/>
    </row>
    <row r="978" spans="2:2" ht="13" x14ac:dyDescent="0.15">
      <c r="B978" s="33"/>
    </row>
    <row r="979" spans="2:2" ht="13" x14ac:dyDescent="0.15">
      <c r="B979" s="33"/>
    </row>
    <row r="980" spans="2:2" ht="13" x14ac:dyDescent="0.15">
      <c r="B980" s="33"/>
    </row>
    <row r="981" spans="2:2" ht="13" x14ac:dyDescent="0.15">
      <c r="B981" s="33"/>
    </row>
    <row r="982" spans="2:2" ht="13" x14ac:dyDescent="0.15">
      <c r="B982" s="33"/>
    </row>
    <row r="983" spans="2:2" ht="13" x14ac:dyDescent="0.15">
      <c r="B983" s="33"/>
    </row>
    <row r="984" spans="2:2" ht="13" x14ac:dyDescent="0.15">
      <c r="B984" s="33"/>
    </row>
    <row r="985" spans="2:2" ht="13" x14ac:dyDescent="0.15">
      <c r="B985" s="33"/>
    </row>
    <row r="986" spans="2:2" ht="13" x14ac:dyDescent="0.15">
      <c r="B986" s="33"/>
    </row>
    <row r="987" spans="2:2" ht="13" x14ac:dyDescent="0.15">
      <c r="B987" s="33"/>
    </row>
    <row r="988" spans="2:2" ht="13" x14ac:dyDescent="0.15">
      <c r="B988" s="33"/>
    </row>
    <row r="989" spans="2:2" ht="13" x14ac:dyDescent="0.15">
      <c r="B989" s="33"/>
    </row>
    <row r="990" spans="2:2" ht="13" x14ac:dyDescent="0.15">
      <c r="B990" s="33"/>
    </row>
    <row r="991" spans="2:2" ht="13" x14ac:dyDescent="0.15">
      <c r="B991" s="33"/>
    </row>
    <row r="992" spans="2:2" ht="13" x14ac:dyDescent="0.15">
      <c r="B992" s="33"/>
    </row>
    <row r="993" spans="2:2" ht="13" x14ac:dyDescent="0.15">
      <c r="B993" s="33"/>
    </row>
    <row r="994" spans="2:2" ht="13" x14ac:dyDescent="0.15">
      <c r="B994" s="33"/>
    </row>
  </sheetData>
  <phoneticPr fontId="12" type="noConversion"/>
  <conditionalFormatting sqref="E2:E16">
    <cfRule type="notContainsBlanks" dxfId="30" priority="1">
      <formula>LEN(TRIM(E2))&gt;0</formula>
    </cfRule>
  </conditionalFormatting>
  <dataValidations count="3">
    <dataValidation type="list" allowBlank="1" showErrorMessage="1" sqref="I2:I16" xr:uid="{00000000-0002-0000-0200-000000000000}">
      <formula1>"New,Assigned,Open,Fixed,Pending Retest,Retest,Re-Opened,Duplicated,Rejected,Deferred,Not a Bug,Verified,Closed"</formula1>
    </dataValidation>
    <dataValidation type="list" allowBlank="1" showErrorMessage="1" sqref="E2:E16" xr:uid="{00000000-0002-0000-0200-000001000000}">
      <formula1>"Critical,Major,Minor,Low"</formula1>
    </dataValidation>
    <dataValidation type="list" allowBlank="1" showErrorMessage="1" sqref="F2:F16" xr:uid="{00000000-0002-0000-0200-000002000000}">
      <formula1>"Critical,High,Medium,Low,Trivial"</formula1>
    </dataValidation>
  </dataValidations>
  <pageMargins left="0.7" right="0.7" top="0.75" bottom="0.75" header="0" footer="0"/>
  <pageSetup orientation="landscape"/>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SummaryTestSourceLabs</vt:lpstr>
      <vt:lpstr>TestCaseResult</vt:lpstr>
      <vt:lpstr>BugReport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Rafif Shabi Prasetyo</cp:lastModifiedBy>
  <dcterms:created xsi:type="dcterms:W3CDTF">2026-10-10T06:17:30Z</dcterms:created>
  <dcterms:modified xsi:type="dcterms:W3CDTF">2026-10-10T06:17:30Z</dcterms:modified>
</cp:coreProperties>
</file>